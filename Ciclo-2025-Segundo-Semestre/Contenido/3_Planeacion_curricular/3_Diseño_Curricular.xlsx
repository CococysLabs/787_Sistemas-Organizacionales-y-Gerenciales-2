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visible" name="METADATA" sheetId="17" r:id="rId20"/>
  </sheets>
  <definedNames/>
  <calcPr/>
  <extLst>
    <ext uri="GoogleSheetsCustomDataVersion2">
      <go:sheetsCustomData xmlns:go="http://customooxmlschemas.google.com/" r:id="rId21" roundtripDataChecksum="BNXlmomxtWxKX2CQagVeHOLIMEPX0MZ+3UdzXc+KxP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<sst xmlns="http://schemas.openxmlformats.org/spreadsheetml/2006/main" count="1467" uniqueCount="322">
  <si>
    <t>Diseño de Contenido Curricular</t>
  </si>
  <si>
    <t>Curso</t>
  </si>
  <si>
    <t>787 - Sistemas Organizacionales y Gerenciales 2</t>
  </si>
  <si>
    <t>Periodo al que aplica</t>
  </si>
  <si>
    <t>Primer Semestre 2026</t>
  </si>
  <si>
    <t>No.</t>
  </si>
  <si>
    <t>Competencia</t>
  </si>
  <si>
    <t>Nombre de la Unidad</t>
  </si>
  <si>
    <t>Tema</t>
  </si>
  <si>
    <t>Subtema</t>
  </si>
  <si>
    <t>Mes</t>
  </si>
  <si>
    <t>Semana</t>
  </si>
  <si>
    <t xml:space="preserve">Analiza oportunidades críticas y de gran valor en un entorno empresarial haciendo uso de matrices y arboles de decisión, así como herramientas para el análisis de datos para definir la mejor planificación y dirección empresarial          </t>
  </si>
  <si>
    <t>Unidad 1 Exploración del mundo de los ERP (Enterprise Resource Planning)</t>
  </si>
  <si>
    <t>Exploración del mundo del los ERP: Planeación, Control y Dirección</t>
  </si>
  <si>
    <t>Definición de planeación.</t>
  </si>
  <si>
    <t>Enero</t>
  </si>
  <si>
    <t>Control en la gestión.</t>
  </si>
  <si>
    <t>Dirección empresarial.</t>
  </si>
  <si>
    <t>Relación entre planeación, control y dirección.</t>
  </si>
  <si>
    <t>Módulos principales.</t>
  </si>
  <si>
    <t>Base de datos centralizada.</t>
  </si>
  <si>
    <t>Interfaz de usuario.</t>
  </si>
  <si>
    <t>Exploración del mundo de los ERP: Función, beneficios de integración y tendencias</t>
  </si>
  <si>
    <t>Integración y ejemplos con aplicaciones</t>
  </si>
  <si>
    <t>Funciones de un ERP.</t>
  </si>
  <si>
    <t>Arquitectura de un ERP.</t>
  </si>
  <si>
    <t>Módulos y sus enfoques.</t>
  </si>
  <si>
    <t>Integración entre módulos.</t>
  </si>
  <si>
    <t>Ejemplos de ERP's  especializados para cierto sector empresarial.</t>
  </si>
  <si>
    <t>Ejemplos de éxito.</t>
  </si>
  <si>
    <t xml:space="preserve">identifica oportunidades críticas y de gran valor en un entorno empresarial haciendo uso de matrices y arboles de decisión, así como herramientas para el análisis de datos para definir la mejor planificación y dirección empresarial  </t>
  </si>
  <si>
    <t>Unidad 2 Recursos y toma de decisiones basadas en tecnologías.</t>
  </si>
  <si>
    <t>Recursos y Toma de decisiones basadas en tecnologías: Introducción a conceptos básicos</t>
  </si>
  <si>
    <t>Definición y objetivos clave del CRM.</t>
  </si>
  <si>
    <t>Componentes de un sistemas CRM.</t>
  </si>
  <si>
    <t>Tipos de CRM's.</t>
  </si>
  <si>
    <t>Beneficios de un CRM e implementación.</t>
  </si>
  <si>
    <t>Arquitectura y modularidad de un sistema CRM.</t>
  </si>
  <si>
    <t>Automatización e integración ERP y CRM.</t>
  </si>
  <si>
    <t>Casos de éxito y empresas especializadas.</t>
  </si>
  <si>
    <t>Recursos y Toma de decisiones basadas en tecnologías: Automatización, personalización y analisis.</t>
  </si>
  <si>
    <t>Impacto en la productividad empresarial.</t>
  </si>
  <si>
    <t>Definiciones y tipos de analisis.</t>
  </si>
  <si>
    <t>Técnicas utilizadas, modelos estadísticos.</t>
  </si>
  <si>
    <t>Desafios y técnicas de integración.</t>
  </si>
  <si>
    <t>Importancia UIX y personalización.</t>
  </si>
  <si>
    <t xml:space="preserve">Razona procesos de negocio y el uso de algoritmos para la toma de desciones y mapear los procesos         utilizando la informacion disponible y herramientas para generar flujos de trabajo y tomar desiciones en base a datos historicos y optimizar procesos         </t>
  </si>
  <si>
    <t>Nuevas tendencias e integraciones.</t>
  </si>
  <si>
    <t xml:space="preserve">Evalúa la efectividad de procesos administrativos         aplicando el ciclo del proceso administrativo para identificar áreas de mejora en la gestión organizacional y proponer acciones correctivas         </t>
  </si>
  <si>
    <t xml:space="preserve">analiza los datos estructurados, semiestructurados y no estructurados utilizando herramientas de ciencia de datos como Python, Pandas y Power BI con el propósito de extraer información relevante para la toma de decisiones </t>
  </si>
  <si>
    <t>Unidad 3 IA, Datawarehouse y Datamining</t>
  </si>
  <si>
    <t>Analitica de datos: Datawarehouse</t>
  </si>
  <si>
    <t>Conceptos de analiticas y tipos.</t>
  </si>
  <si>
    <t>Conceptos de datawarehouse.</t>
  </si>
  <si>
    <t>Arquitectura del datawarehouse y su modelo de datos.</t>
  </si>
  <si>
    <t>Modelos de datos.</t>
  </si>
  <si>
    <t>Desafios, recursos e implementación.</t>
  </si>
  <si>
    <t>Definición del datamining</t>
  </si>
  <si>
    <t>Técnicas de datamining.</t>
  </si>
  <si>
    <t>Analitica de datos: Datamining</t>
  </si>
  <si>
    <t>Ejemplos de herramientas populares.</t>
  </si>
  <si>
    <t>Casos de uso en la industria.</t>
  </si>
  <si>
    <t>Desafíos éticos y de privacidad.</t>
  </si>
  <si>
    <t>Definición y propósito.</t>
  </si>
  <si>
    <t>Perspectivas del balanced scordcard.</t>
  </si>
  <si>
    <t>Desarrollo e implementación.</t>
  </si>
  <si>
    <t>Integración con business intelligence.</t>
  </si>
  <si>
    <t>Analítica de datos: Clasificación de archivos BSC y herramientas de visualización.</t>
  </si>
  <si>
    <t>Medición del rendimiento.</t>
  </si>
  <si>
    <t>Febrero</t>
  </si>
  <si>
    <t>Importancia de la visualización de datos.</t>
  </si>
  <si>
    <t>Conceptos y definición de herramientas BI.</t>
  </si>
  <si>
    <t>Componentes de las herramientas BI.</t>
  </si>
  <si>
    <t>Ciclo de vida de las herramientas BI.</t>
  </si>
  <si>
    <t>Impacto en la estratégica empresarial.</t>
  </si>
  <si>
    <t>Tipos de visualizaciones.</t>
  </si>
  <si>
    <t xml:space="preserve">Razona procesos de negocio y el uso de algoritmos para la toma de desciones y mapear los procesos utilizando la informacion disponible y herramientas para generar flujos de trabajo y tomar desiciones en base a datos historicos y optimizar procesos </t>
  </si>
  <si>
    <t>Unidad 4 Business Intelligence y Workflow</t>
  </si>
  <si>
    <t>Business Intelligence y modelos de workflow</t>
  </si>
  <si>
    <t>Beneficios de herramientas BI e integración con sistemas datawarehouse y datamining.</t>
  </si>
  <si>
    <t>Buenas prácticas.</t>
  </si>
  <si>
    <t xml:space="preserve">Razona analizar procesos de negocio y el uso de algoritmos para la toma de desciones y mapear los procesos utilizando la informacion disponible y herramientas para generar flujos de trabajo y tomar desiciones en base a datos historicos y optimizar procesos </t>
  </si>
  <si>
    <t>Ejemplos de herramientas BI y beneficios.</t>
  </si>
  <si>
    <t>Definición de workflow.</t>
  </si>
  <si>
    <t>Componentes del workflow, tareas, roles, recursos.</t>
  </si>
  <si>
    <t>Tipos de workflow (estructurados, no estructurados).</t>
  </si>
  <si>
    <t>Tipos de workflow (horizontal, vertical)</t>
  </si>
  <si>
    <t xml:space="preserve">Implementa flujos para la optimizacion de procesos empresariales en graficas utilizando Workflows para entandarizar  los procesos de transformacion digital aplicando normas internacionales </t>
  </si>
  <si>
    <t>Unidad 5 Gestión documental y Modelos de Workflow BPO</t>
  </si>
  <si>
    <t>Modelos de Workflow: Definiciones clave y principios de mejora eficiencia.</t>
  </si>
  <si>
    <t>Beneficios del uso de workflow: Eficiencia, comunicación, reducción de errores.</t>
  </si>
  <si>
    <t>Definiciones clave.</t>
  </si>
  <si>
    <t>Ciclo de vida del documento.</t>
  </si>
  <si>
    <t>Normativas y estándares, internos y externos.</t>
  </si>
  <si>
    <t>Normativas y estándars internacionales.</t>
  </si>
  <si>
    <t>Calidad de la documentación.</t>
  </si>
  <si>
    <t>Ejemplos de workflow.</t>
  </si>
  <si>
    <t>Modelos Workflow: Integración, gestión documental y transformación digital.</t>
  </si>
  <si>
    <t>Desarrollo y correcto flujo de los documentos.</t>
  </si>
  <si>
    <t>Desafios de integración.</t>
  </si>
  <si>
    <t>Impacto en la transformación digital.</t>
  </si>
  <si>
    <t>Estratégias para la adaptación a la transformación digital.</t>
  </si>
  <si>
    <t>Evalución de resultados.</t>
  </si>
  <si>
    <t>Tendencias actuales de gestión documental.</t>
  </si>
  <si>
    <t xml:space="preserve">Analiza las ventajas y desventajas del (BPO) y el impacto a nivel empresarial y los costos y beneficios se pueden tener, haciendo uso de hojas de calculo para delegar a terceros proceos fundamentales dentro de una organizacion y las desventajas de las personas que trabajan para una empresa BPO  </t>
  </si>
  <si>
    <t>Conceptos y beneficios de Business Process Outsourcing (BPO)</t>
  </si>
  <si>
    <t>Conceptos, beneficios, alcance del BPO.</t>
  </si>
  <si>
    <t>Impacto en la subcontratación de servicios tecnológicos.</t>
  </si>
  <si>
    <t>Impacto en la subcontratación: oportunidades, desafíos.</t>
  </si>
  <si>
    <t>Análisis de costos.</t>
  </si>
  <si>
    <t>Selección del proveedor y estudios de proveedores.</t>
  </si>
  <si>
    <t>Marzo</t>
  </si>
  <si>
    <t>Control de calidad y gestión de relación.</t>
  </si>
  <si>
    <t>Seguridad, cumplimientos y acuerdos.</t>
  </si>
  <si>
    <t xml:space="preserve">Analiza el uso de herramientas de automatizacion de proceos (RPA), costes y beneficios del uso, el retorno de inversion con hojas de calculo y datos de costos de cada herramienta esto para tener una idea de como interactua el mismo y el uso de marketing para mejorar la persepcion y ventas de una organizacion </t>
  </si>
  <si>
    <t>Unidad 6 Automatización de procesos empresariales.</t>
  </si>
  <si>
    <t>Introducción a la automatización.</t>
  </si>
  <si>
    <t>Impacto interno, flexibilidad y escalabilidad.</t>
  </si>
  <si>
    <t>Medición de resultados y tendencias futuras.</t>
  </si>
  <si>
    <t>Tipos de automatizadores y caracteristicas.</t>
  </si>
  <si>
    <t>RPA como opción a estudiar.</t>
  </si>
  <si>
    <t>Ventajas y desventajas, desafios del RPA (ROI)</t>
  </si>
  <si>
    <t>Que es ROI y como se calcula.</t>
  </si>
  <si>
    <t>RPA e introducción al marketing digital</t>
  </si>
  <si>
    <t>Herramientas tecnológicas RPA</t>
  </si>
  <si>
    <t>Tipos y caracteristicas de las herramientas a estudiar.</t>
  </si>
  <si>
    <t>Conceptos de ética y seguridad en proyectos RPA.</t>
  </si>
  <si>
    <t>Ejemplos de RPA</t>
  </si>
  <si>
    <t>Introducción a marketing digital.</t>
  </si>
  <si>
    <t>Herramientas de análisis y medición.</t>
  </si>
  <si>
    <t>Estratégias de marketing.</t>
  </si>
  <si>
    <t>Unidad 7 Marketing</t>
  </si>
  <si>
    <t>Técnicas y herramientas de segmentación de mercado, tipos de analisis de datos.</t>
  </si>
  <si>
    <t>Tipos de analisis de datos y métricas.</t>
  </si>
  <si>
    <t>Abril</t>
  </si>
  <si>
    <t>Herramientas de gestión y automatización</t>
  </si>
  <si>
    <t>Segmentación del mercado</t>
  </si>
  <si>
    <t>Analisis en la creación de campañas</t>
  </si>
  <si>
    <t>Herramientas de publicidad digital.</t>
  </si>
  <si>
    <t>Conceptos y herramientas.</t>
  </si>
  <si>
    <t>Estudio de técnicas, medición y optimización.</t>
  </si>
  <si>
    <t>Tiempo</t>
  </si>
  <si>
    <t xml:space="preserve">1. Bienvenida y Presentación                                   </t>
  </si>
  <si>
    <t>Tiempo Aproximado</t>
  </si>
  <si>
    <t>No puedes excederte mas de 15 minutos</t>
  </si>
  <si>
    <t xml:space="preserve">Nombre y Formacion Academica </t>
  </si>
  <si>
    <t>Presentación formal de mi persona, experiencias academicas en el centro universitario y fuera de el</t>
  </si>
  <si>
    <t xml:space="preserve">Experiencia docente y profecional </t>
  </si>
  <si>
    <t>Pedir opiniones de docentes previos, dar y recibir expectativas del laboratorio, presentar mi experiencia profesional</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</si>
  <si>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</si>
  <si>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</si>
  <si>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Guiar al estudiante para que comprenda los temas establecidos en el programa, pueda aplicarlos en un entorno práctico y ejecute con éxito los proyectos del curso. Además, corresponde al tutor resolver dudas y facilitar el proceso de aprendizaje del estudiante</t>
  </si>
  <si>
    <t>Expectativas sobre la dinámica del curso</t>
  </si>
  <si>
    <t>Se espera un ambiente de respeto y comunicación activa, libre de burlas, insultos, faltas de respeto o cualquier manifestación despectiva hacia el tutor o los demás estudiantes. Asimismo, se solicita la participación activa, ya que esta permite al estudiante aclarar sus dudas de manera más efectiva</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</si>
  <si>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</si>
  <si>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</si>
  <si>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</si>
  <si>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</si>
  <si>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¿Qué diferencia existe entre un ERP y un CRM?
El ERP integra y gestiona procesos internos de la empresa (finanzas, producción, logística), mientras que el CRM se enfoca en la gestión de clientes, ventas y marketing.
¿Cuáles son tres módulos comunes en un ERP?
Finanzas, inventarios y recursos humanos.
¿Cómo ayuda un CRM en la relación con los clientes?
Centraliza información, mejora la atención personalizada y facilita el seguimiento de ventas.
¿Cuáles son las cuatro etapas del proceso administrativo?
Planificación, organización, dirección y control.
¿Por qué la planificación es la base del proceso administrativo?
Porque establece objetivos y define el rumbo de las demás etapas.
¿Cómo se aplica el control en una empresa de servicios?
Comparando estándares de calidad con los resultados obtenidos para corregir desviaciones.
¿Cuál es la diferencia entre OLAP y OLTP?
OLAP analiza grandes volúmenes de datos históricos para la toma de decisiones, mientras que OLTP gestiona transacciones operativas en tiempo real.
¿Qué es Business Intelligence?
Es el conjunto de herramientas y procesos que convierten datos en información útil para decisiones estratégicas.
¿Qué ventaja ofrece OLAP frente a reportes planos?
Permite análisis multidimensional, rápido y flexible (drill-down, slice and dice).
¿Para qué se utiliza la librería Pandas en Python?
Para manipulación y análisis de datos en estructuras como DataFrames.
¿Para qué se utiliza la librería NumPy en Python?
Para cálculos numéricos eficientes con arreglos y operaciones matemáticas.
¿Qué es RPA?
Es la automatización de procesos repetitivos mediante robots de software que imitan tareas humanas en sistemas digitales.
¿Cuáles son dos ventajas de implementar RPA?
Reduce errores y aumenta la eficiencia.
¿Cuáles son dos desventajas de implementar RPA?
Alto costo inicial y dependencia tecnológica.
¿Qué proceso repetitivo puede automatizarse con RPA?
La generación de facturas y la carga de datos en sistemas.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</si>
  <si>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</si>
  <si>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</si>
  <si>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Preguntas sobre herramientas y procesos como: ELT, analisis de datos e interpretacion de los mismo, utilización de herramientas como BI, RPA, CRM, ERP, DMZ</t>
  </si>
  <si>
    <t xml:space="preserve">3. Presentación de los Estudiantes                                </t>
  </si>
  <si>
    <t xml:space="preserve">No puedes excederte mas de 30 minutos </t>
  </si>
  <si>
    <t>Seleccion al Azar de 5 Estudiantes</t>
  </si>
  <si>
    <t>Solicitud voluntaria para participación</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</si>
  <si>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</si>
  <si>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</si>
  <si>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Preguntas mal contestadas, se le pedirá opinion del concepto de otros temas</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</si>
  <si>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</si>
  <si>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</si>
  <si>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</si>
  <si>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</si>
  <si>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Generar el link unos días antes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</si>
  <si>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</si>
  <si>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</si>
  <si>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Fines de semana de 8AM a 4PM</t>
  </si>
  <si>
    <t xml:space="preserve">4.  Mostrar Programa del Curso                 </t>
  </si>
  <si>
    <t>No puedes excederte mas de 30 minutos</t>
  </si>
  <si>
    <t xml:space="preserve">2. Evaluación de Conocimientos del Curso Actual                                  </t>
  </si>
  <si>
    <t xml:space="preserve">Redactaras 20 preguntas con sus respectivas respuestas </t>
  </si>
  <si>
    <t xml:space="preserve">El BPO (Business Process Outsourcing) consiste en delegar procesos internos de la empresa a un tercero especializado.
Verdadero
El marketing digital se limita únicamente a redes sociales.
Falso
El ROI (Return on Investment) mide la rentabilidad de una inversión en función de lo que se gana respecto a lo que se invierte.
Verdadero
El BPO siempre implica reducción de costos, sin importar el tipo de proceso externalizado.
Falso
Una campaña de marketing digital puede evaluarse midiendo su ROI.
Verdadero
¿Cuáles son las cuatro etapas del proceso administrativo?
Planificación, organización, dirección y control.
¿Qué implica la etapa de planificación?
Definir objetivos, estrategias y recursos necesarios.
¿Qué se busca con la organización en el proceso administrativo?
Estructurar recursos y asignar responsabilidades.
¿Qué papel cumple la dirección en el proceso administrativo?
Motivar, coordinar y guiar a las personas hacia los objetivos.
¿Qué función tiene el control?
Comparar resultados con lo planificado y corregir desviaciones.
¿Qué es Code Vibe?
Es una metodología o enfoque que fomenta la colaboración, creatividad y productividad en equipos de desarrollo de software.
¿Por qué es importante Code Vibe en proyectos de TI?
Porque mejora la comunicación y reduce errores en la construcción de soluciones.
¿Qué es la inteligencia artificial generativa?
Es un tipo de IA que crea contenido nuevo (texto, imágenes, audio, código) a partir de patrones aprendidos.
Menciona un ejemplo de aplicación de IA generativa.
ChatGPT para generar texto o MidJourney para generar imágenes.
¿Qué diferencia existe entre análisis e interpretación?
El análisis descompone la información en partes, mientras que la interpretación da sentido y conclusiones a esos datos.
¿Por qué es importante la interpretación después del análisis?
Porque transforma los datos en conocimiento útil para la toma de decisiones.
¿Qué diferencia existe entre análisis e interpretación?
El análisis descompone la información en partes, mientras que la interpretación da sentido y conclusiones a esos datos.
¿Por qué es importante la interpretación después del análisis?
Porque transforma los datos en conocimiento útil para la toma de decisiones.
¿Qué es la toma de decisiones en administración?
Es el proceso de elegir entre varias alternativas para resolver un problema o aprovechar una oportunidad.
¿Qué factores influyen en una buena toma de decisiones?
Información precisa, análisis adecuado y consideración de riesgos y beneficios.
</t>
  </si>
  <si>
    <t>Diseño de la Sesión de Laboratorio</t>
  </si>
  <si>
    <t>Ponderación</t>
  </si>
  <si>
    <t>Validación de Tiempo</t>
  </si>
  <si>
    <t>1. Área Actitudinal (Saber Ser)</t>
  </si>
  <si>
    <t>Tiene que estar en un rango de 3 a 5 minutos</t>
  </si>
  <si>
    <t>Nombre del Valor</t>
  </si>
  <si>
    <t>Respeto</t>
  </si>
  <si>
    <t>Descripcion</t>
  </si>
  <si>
    <t>Reconocer y valorar las opiniones, ideas y aportes de los demás, manteniendo un ambiente cordial y constructivo.</t>
  </si>
  <si>
    <t>Como se relaciona con los conocimientos de la sesion y se aplicaria</t>
  </si>
  <si>
    <t>En las sesiones sobre ERP, CRM y toma de decisiones, el respeto se refleja en la escucha activa hacia el tutor y compañeros, lo que favorece la comprensión de los conceptos y permite un trabajo colaborativo más efectivo en el análisis de casos y resolución de problemas.</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</si>
  <si>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</si>
  <si>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</si>
  <si>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</si>
  <si>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</si>
  <si>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</si>
  <si>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</si>
  <si>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</si>
  <si>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</si>
  <si>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</si>
  <si>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</si>
  <si>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</si>
  <si>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</si>
  <si>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</si>
  <si>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</si>
  <si>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3 a 6 minutos</t>
  </si>
  <si>
    <t>Lectura</t>
  </si>
  <si>
    <t>Optativo</t>
  </si>
  <si>
    <t>Ejercicio Demostrativo</t>
  </si>
  <si>
    <t>3. Área de Habilidades (Saber Hacer)</t>
  </si>
  <si>
    <t>Tiene que estar en un rango de 30 a 50 minutos</t>
  </si>
  <si>
    <t>Actividad 1 (Obligatoria)</t>
  </si>
  <si>
    <t>Competencia que predomina en la actividad</t>
  </si>
  <si>
    <t>Tipo de Actividad</t>
  </si>
  <si>
    <t>Analisis</t>
  </si>
  <si>
    <t>Coloca el tiempo que usar en la actividad, un tiempo sugerido 30 minutos</t>
  </si>
  <si>
    <t>Descripcion de la Actividad</t>
  </si>
  <si>
    <t>Ejercicio real donde tienen que obtener las tareas y separarlas en las 4 etapas del proceso administrativo</t>
  </si>
  <si>
    <t>Actividad 2 (Optativa puedes hacerla si lo consideras apropiado)</t>
  </si>
  <si>
    <t>Coloca el tiempo que usar en la actividad, un tiempo sugerido 20 minutos</t>
  </si>
  <si>
    <t>3. Cierre</t>
  </si>
  <si>
    <t>Tiene que estar en un rango de 10 a 15 minutos</t>
  </si>
  <si>
    <t>Asignacion de Actividades</t>
  </si>
  <si>
    <t>Resolver dudas sobre los temas vistos</t>
  </si>
  <si>
    <t>Resuelve alguna duda, asigna las actividades que deben realizar, dudas de proyectos, etc</t>
  </si>
  <si>
    <t>Responsabilidad</t>
  </si>
  <si>
    <t>Cumplir con las tareas y compromisos asignados de manera puntual y con calidad.</t>
  </si>
  <si>
    <t>En el estudio de tipos de CRM y su implementación, la responsabilidad se refleja en el uso adecuado de la información del cliente y en el cumplimiento de los procesos para mantener relaciones confiables.</t>
  </si>
  <si>
    <t xml:space="preserve">Crea propuestas de solución innovadoras utilizando metodologías de diseño estratégico en escenarios empresariales simulados de alta complejidad </t>
  </si>
  <si>
    <t>Exploracion de odoo y registro de al menos 1 producto, 1 proveedor, 1 cliente y 1 venta</t>
  </si>
  <si>
    <t>Resolucion del ejercicio y dudas</t>
  </si>
  <si>
    <t xml:space="preserve">Comprende los fundamentos de la gestión gerencial aplicando teorías administrativas y de liderazgo en el análisis de casos organizacionales </t>
  </si>
  <si>
    <t>actividades</t>
  </si>
  <si>
    <t>Analizar un CSV para realizar un ELT con las técnicas y herrramientas vistas en clase</t>
  </si>
  <si>
    <t>Preguntar dificultades con la actividad y sección de preguntas</t>
  </si>
  <si>
    <t>Trabajo en equipo</t>
  </si>
  <si>
    <t>Colaborar con otros para obtener un análisis más completo y diverso de la información.</t>
  </si>
  <si>
    <t>En la definición de conceptos y componentes de herramientas BI, el trabajo en equipo permite integrar visiones de distintas áreas para un diseño más efectivo.</t>
  </si>
  <si>
    <t xml:space="preserve">Recuerda conceptos fundamentales de la administración gerencial realizando la apropiada inteligencia de negos}cios y envontrar brechas para la expansion empresarial y asi lograr los obejtivos que se planificaron desde el principio </t>
  </si>
  <si>
    <t xml:space="preserve">Crea ..    </t>
  </si>
  <si>
    <t>Realizar 2 dashboard con información relevante de datos extraidos en la web utilizando power BI</t>
  </si>
  <si>
    <t>Sección de preguntas</t>
  </si>
  <si>
    <t>Colaboración</t>
  </si>
  <si>
    <t>Trabajar en conjunto con compañeros y equipos de diferentes áreas, compartiendo información y aportes que enriquezcan el uso de herramientas BI y el diseño de workflows.</t>
  </si>
  <si>
    <t>La colaboración permite integrar diversas perspectivas al aplicar buenas prácticas de Business Intelligence, definir roles dentro de un workflow y garantizar que los procesos empresariales funcionen de manera eficiente y coordinada.</t>
  </si>
  <si>
    <t xml:space="preserve">Implementa utilizando Workflows para entandarizar  utilizando Workflows para entandarizar  los procesos de transformacion digital aplicando normas internacionales         </t>
  </si>
  <si>
    <t>Ejemplificar un workflow secuencial y uno por eventos</t>
  </si>
  <si>
    <t>Resolver/explicar el ejercicio y sección de preguntas</t>
  </si>
  <si>
    <t>Transparencia</t>
  </si>
  <si>
    <t>La transparencia es un valor clave en la gestión del BPO y la subcontratación tecnológica, esencial para fortalecer la confianza entre las partes y garantizar la ética en los acuerdos.</t>
  </si>
  <si>
    <t>Desde la gerencia, facilita la evaluación clara de resultados y la reducción de riesgos. Para los estudiantes, implica cultivar la comunicación honesta, la responsabilidad en el manejo de información y la supervisión rigurosa de procesos, preparándolos para liderar con integridad en el ámbito empresarial.</t>
  </si>
  <si>
    <t>2 min</t>
  </si>
  <si>
    <t>5 a 6 min</t>
  </si>
  <si>
    <t>10min</t>
  </si>
  <si>
    <t>demostracion de las herramientas y normativos aplicados en escenarios reales</t>
  </si>
  <si>
    <t>conclusiones, recomendaciones y recordatorios de actividades</t>
  </si>
  <si>
    <t xml:space="preserve">Implica asegurar que las implementaciones sean éticas, seguras y alineadas con los objetivos organizacionales. </t>
  </si>
  <si>
    <t>Para el estudiante, representa el compromiso de aplicar correctamente las tecnologías RPA, protegiendo la integridad de los datos y considerando el impacto en personas y procesos. Este valor fortalece su formación profesional y ética durante el semestre.</t>
  </si>
  <si>
    <t>Demostracion de las herramientas y normativos aplicados en escenarios reales</t>
  </si>
  <si>
    <t>Honestidad</t>
  </si>
  <si>
    <t xml:space="preserve">Este valor invita al estudiante a cerrar su formación con integridad, promoviendo una comunicación veraz, transparente y respetuosa. </t>
  </si>
  <si>
    <t>Fomentar la honestidad permite construir relaciones duraderas con el cliente y proyectar una imagen profesional ética en cualquier entorno empresarial.</t>
  </si>
  <si>
    <t>Ejercicio practico</t>
  </si>
  <si>
    <t>conclusiones, recomendaciones y recordatorios de actividades para el cierre del curso</t>
  </si>
  <si>
    <t>Proyectos</t>
  </si>
  <si>
    <t>La sumatoria de los puntos de los proyectos debe superar el  70% del total de la nota, no puede ser un 100%</t>
  </si>
  <si>
    <t>1. Primer Proyecto</t>
  </si>
  <si>
    <t>Horas para realizarlo</t>
  </si>
  <si>
    <t>Titulo</t>
  </si>
  <si>
    <t>Proyecto único</t>
  </si>
  <si>
    <t>Qué tecnologías, lenguajes de programación, plataformas, hardware o software se utilizaran</t>
  </si>
  <si>
    <t>Odoo, google analytics, UiPath, power BI, Base de datos relacional</t>
  </si>
  <si>
    <t>Descripción de lo que se realizara</t>
  </si>
  <si>
    <t>Un ejercicio para utilizar un CRM y ERP donde se pueda tomar datos y analizarlos con ayuda de google analitycs. Con los datos analizados presentar informes y marketing que se pueda utilizar. Tambien dashboards en power BI. Así mismo utilizar herramientas de automatización para tareas comunes y repetitivas</t>
  </si>
  <si>
    <t>2. Segundo Proyecto</t>
  </si>
  <si>
    <t>3. Tercer Proyecto</t>
  </si>
  <si>
    <t>Optativa</t>
  </si>
  <si>
    <t>Practicas</t>
  </si>
  <si>
    <t>La sumatoria de los puntos de los practicas debe no debe super el  20%</t>
  </si>
  <si>
    <t>1. Primera Practica</t>
  </si>
  <si>
    <t>Obligatoria</t>
  </si>
  <si>
    <t>Análisis de datos e interpretación de los resultados</t>
  </si>
  <si>
    <t>Bases de Datos en la Nube, SQL, Power BI, R, Power Point,Python</t>
  </si>
  <si>
    <t>Realizar un ejercicio práctico de análisis de datos dentro de una organización, reconocer insights derivados del análisis, identificar y tomar las mejores decisiones estratégicas, evaluar y mejorar la eficiencia operativa y aumentar la ventaja competitiva en el mercado.</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</si>
  <si>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</si>
  <si>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</si>
  <si>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</si>
  <si>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</si>
  <si>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</si>
  <si>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</si>
  <si>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</si>
  <si>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</si>
  <si>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</si>
  <si>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Analisis, Plantilla de Planificación</t>
  </si>
  <si>
    <t>Plan Etrategico de transformación Tecnologia, se debe realizar una planifiacion para la correcta implementacion de un ERP y CRM</t>
  </si>
  <si>
    <t>2. Segunda Tarea</t>
  </si>
  <si>
    <t>MySQL, Python, R, Power BI</t>
  </si>
  <si>
    <t>De una Muestra de Datos de datos destructurados, deben manipular y estructurar la data, y generar 5 graficos de las tendencias encontradas, y generar una conclusion alrespecto de manera analitica</t>
  </si>
  <si>
    <t>3. Tercera Tarea</t>
  </si>
  <si>
    <t>UiPath, Gmail.  Word</t>
  </si>
  <si>
    <t>Se debe realizar un RPA que genere documentos y los archive en la nube de Google</t>
  </si>
  <si>
    <t>4. Cuarta Tarea</t>
  </si>
  <si>
    <t>Google Trends, CapCut, Meta Business Suite</t>
  </si>
  <si>
    <t>Diseñar una mini–campaña de marketing para un producto o servicio (real o ficticio) donde integren análisis de mercado, segmentación de clientes, propuesta de valor y canales de comunicación digital.</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</si>
  <si>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</si>
  <si>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</si>
  <si>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</si>
  <si>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</si>
  <si>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</si>
  <si>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</si>
  <si>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</si>
  <si>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</si>
  <si>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</si>
  <si>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</si>
  <si>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</si>
  <si>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</si>
  <si>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Cortos y Examen Final</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</si>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</sst>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b/>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b/>
      <sz val="12.0"/>
      <color rgb="FFFF6D01"/>
      <name val="Arial"/>
    </font>
    <font>
      <b/>
      <sz val="12.0"/>
      <color rgb="FFFFFFFF"/>
      <name val="Arial"/>
    </font>
    <font>
      <color theme="1"/>
      <name val="Arial"/>
      <scheme val="minor"/>
    </font>
    <font>
      <color rgb="FFD9D9D9"/>
      <name val="Arial"/>
    </font>
    <font>
      <b/>
      <sz val="12.0"/>
      <color theme="1"/>
      <name val="Arial"/>
    </font>
    <font>
      <sz val="12.0"/>
      <color theme="0"/>
      <name val="Arial"/>
    </font>
    <font>
      <sz val="12.0"/>
      <color rgb="FFFFFFFF"/>
      <name val="Arial"/>
    </font>
    <font>
      <sz val="12.0"/>
      <color theme="4"/>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1" fillId="0" fontId="4" numFmtId="0" xfId="0" applyAlignment="1" applyBorder="1" applyFont="1">
      <alignment horizontal="right" vertical="bottom"/>
    </xf>
    <xf borderId="1" fillId="0" fontId="4" numFmtId="0" xfId="0" applyAlignment="1" applyBorder="1" applyFont="1">
      <alignment readingOrder="0" shrinkToFit="0" vertical="bottom" wrapText="1"/>
    </xf>
    <xf borderId="1" fillId="0" fontId="4" numFmtId="0" xfId="0" applyAlignment="1" applyBorder="1" applyFont="1">
      <alignment vertical="bottom"/>
    </xf>
    <xf borderId="1" fillId="0" fontId="4" numFmtId="0" xfId="0" applyAlignment="1" applyBorder="1" applyFont="1">
      <alignment shrinkToFit="0" vertical="bottom" wrapText="1"/>
    </xf>
    <xf borderId="0" fillId="0" fontId="3" numFmtId="0" xfId="0" applyAlignment="1" applyFont="1">
      <alignment horizontal="center" readingOrder="0"/>
    </xf>
    <xf borderId="1" fillId="0" fontId="3" numFmtId="0" xfId="0" applyAlignment="1" applyBorder="1" applyFont="1">
      <alignment horizontal="center" shrinkToFit="0" wrapText="1"/>
    </xf>
    <xf borderId="1" fillId="0" fontId="4" numFmtId="0" xfId="0" applyAlignment="1" applyBorder="1" applyFont="1">
      <alignment vertical="bottom"/>
    </xf>
    <xf borderId="1" fillId="0" fontId="3" numFmtId="0" xfId="0" applyAlignment="1" applyBorder="1" applyFont="1">
      <alignment horizontal="center" shrinkToFit="0" wrapText="1"/>
    </xf>
    <xf borderId="1" fillId="0" fontId="4" numFmtId="0" xfId="0" applyAlignment="1" applyBorder="1" applyFont="1">
      <alignment shrinkToFit="0" vertical="bottom" wrapText="1"/>
    </xf>
    <xf borderId="1" fillId="3" fontId="4" numFmtId="0" xfId="0" applyAlignment="1" applyBorder="1" applyFill="1" applyFont="1">
      <alignment shrinkToFit="0" vertical="bottom" wrapText="1"/>
    </xf>
    <xf borderId="1" fillId="0" fontId="4" numFmtId="0" xfId="0" applyAlignment="1" applyBorder="1" applyFont="1">
      <alignment shrinkToFit="0" vertical="bottom" wrapText="1"/>
    </xf>
    <xf borderId="0" fillId="0" fontId="7" numFmtId="0" xfId="0" applyAlignment="1" applyFont="1">
      <alignment horizontal="center" readingOrder="0"/>
    </xf>
    <xf borderId="1" fillId="0" fontId="3" numFmtId="0" xfId="0" applyAlignment="1" applyBorder="1" applyFont="1">
      <alignment horizontal="center" shrinkToFit="0"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4" fontId="1" numFmtId="0" xfId="0" applyFill="1" applyFont="1"/>
    <xf borderId="0" fillId="0" fontId="11"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2" numFmtId="0" xfId="0" applyFont="1"/>
    <xf borderId="0" fillId="0" fontId="13" numFmtId="0" xfId="0" applyAlignment="1" applyFont="1">
      <alignment shrinkToFit="0" wrapText="1"/>
    </xf>
    <xf borderId="0" fillId="0" fontId="4" numFmtId="0" xfId="0" applyAlignment="1" applyFont="1">
      <alignment horizontal="left" shrinkToFit="0" vertical="center" wrapText="1"/>
    </xf>
    <xf borderId="0" fillId="0" fontId="14" numFmtId="0" xfId="0" applyFont="1"/>
    <xf borderId="0" fillId="0" fontId="4" numFmtId="0" xfId="0" applyAlignment="1" applyFont="1">
      <alignment shrinkToFit="0" vertical="center" wrapText="1"/>
    </xf>
    <xf borderId="0" fillId="0" fontId="15" numFmtId="0" xfId="0" applyFont="1"/>
    <xf borderId="1" fillId="0" fontId="4" numFmtId="0" xfId="0" applyAlignment="1" applyBorder="1" applyFont="1">
      <alignment shrinkToFit="0" wrapText="1"/>
    </xf>
    <xf borderId="0" fillId="0" fontId="13" numFmtId="0" xfId="0" applyFont="1"/>
    <xf borderId="0" fillId="6" fontId="16" numFmtId="0" xfId="0" applyAlignment="1" applyFill="1" applyFont="1">
      <alignment readingOrder="0"/>
    </xf>
    <xf borderId="2" fillId="5"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6" fontId="16" numFmtId="0" xfId="0" applyFont="1"/>
    <xf borderId="0" fillId="0" fontId="10" numFmtId="0" xfId="0" applyFont="1"/>
    <xf borderId="1" fillId="7" fontId="4" numFmtId="0" xfId="0" applyBorder="1" applyFill="1" applyFont="1"/>
    <xf borderId="2" fillId="7" fontId="4" numFmtId="0" xfId="0" applyBorder="1" applyFont="1"/>
    <xf borderId="0" fillId="0" fontId="17" numFmtId="0" xfId="0" applyFont="1"/>
    <xf borderId="1" fillId="8" fontId="4" numFmtId="0" xfId="0" applyBorder="1" applyFill="1" applyFont="1"/>
    <xf borderId="2" fillId="8" fontId="4" numFmtId="0" xfId="0" applyBorder="1" applyFont="1"/>
    <xf borderId="2" fillId="0" fontId="14" numFmtId="0" xfId="0" applyBorder="1" applyFont="1"/>
    <xf borderId="11" fillId="0" fontId="8" numFmtId="0" xfId="0" applyBorder="1" applyFont="1"/>
    <xf borderId="12" fillId="0" fontId="8" numFmtId="0" xfId="0" applyBorder="1" applyFont="1"/>
    <xf borderId="0" fillId="0" fontId="18" numFmtId="0" xfId="0" applyFont="1"/>
    <xf borderId="5" fillId="0" fontId="4" numFmtId="0" xfId="0" applyBorder="1" applyFont="1"/>
    <xf borderId="2" fillId="0" fontId="14" numFmtId="0" xfId="0" applyAlignment="1" applyBorder="1" applyFont="1">
      <alignment readingOrder="0"/>
    </xf>
    <xf borderId="6" fillId="0" fontId="4" numFmtId="0" xfId="0" applyBorder="1" applyFont="1"/>
    <xf borderId="7" fillId="0" fontId="4" numFmtId="0" xfId="0" applyBorder="1" applyFont="1"/>
    <xf borderId="8" fillId="0" fontId="4" numFmtId="0" xfId="0" applyBorder="1" applyFont="1"/>
    <xf borderId="9" fillId="0" fontId="4" numFmtId="0" xfId="0" applyBorder="1" applyFont="1"/>
    <xf borderId="10" fillId="0" fontId="4" numFmtId="0" xfId="0" applyBorder="1" applyFont="1"/>
    <xf borderId="1" fillId="0" fontId="4" numFmtId="0" xfId="0" applyAlignment="1" applyBorder="1" applyFont="1">
      <alignment readingOrder="0"/>
    </xf>
    <xf borderId="5" fillId="0" fontId="4" numFmtId="0" xfId="0" applyAlignment="1" applyBorder="1" applyFont="1">
      <alignment readingOrder="0" vertical="top"/>
    </xf>
    <xf borderId="0" fillId="0" fontId="19" numFmtId="0" xfId="0" applyFont="1"/>
    <xf borderId="0" fillId="4" fontId="20" numFmtId="0" xfId="0" applyAlignment="1" applyFont="1">
      <alignment readingOrder="0"/>
    </xf>
    <xf borderId="0" fillId="4" fontId="21" numFmtId="0" xfId="0" applyAlignment="1" applyFont="1">
      <alignment readingOrder="0"/>
    </xf>
    <xf borderId="0" fillId="0" fontId="22" numFmtId="0" xfId="0" applyFont="1"/>
    <xf borderId="0" fillId="0" fontId="5" numFmtId="0" xfId="0" applyAlignment="1" applyFont="1">
      <alignment shrinkToFit="0" wrapText="1"/>
    </xf>
    <xf borderId="0" fillId="0" fontId="23" numFmtId="0" xfId="0" applyAlignment="1" applyFont="1">
      <alignment shrinkToFit="0" wrapText="1"/>
    </xf>
    <xf borderId="0" fillId="0" fontId="23" numFmtId="0" xfId="0" applyFont="1"/>
    <xf borderId="1" fillId="7" fontId="23" numFmtId="0" xfId="0" applyAlignment="1" applyBorder="1" applyFont="1">
      <alignment shrinkToFit="0" wrapText="1"/>
    </xf>
    <xf borderId="1" fillId="7" fontId="23"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6.38"/>
    <col customWidth="1" min="3" max="3" width="42.0"/>
    <col customWidth="1" min="4" max="4" width="57.63"/>
    <col customWidth="1" min="5" max="5" width="75.25"/>
    <col customWidth="1" min="6" max="6" width="61.75"/>
    <col customWidth="1" min="7" max="7" width="15.75"/>
  </cols>
  <sheetData>
    <row r="1" ht="15.75" customHeight="1"/>
    <row r="2" ht="15.75" customHeight="1">
      <c r="A2" s="1">
        <f>VALUE(LEFT(C4,FIND(" - ",C4)-1))</f>
        <v>787</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t="s">
        <v>13</v>
      </c>
      <c r="E9" s="12" t="s">
        <v>14</v>
      </c>
      <c r="F9" s="13" t="s">
        <v>15</v>
      </c>
      <c r="G9" s="14" t="s">
        <v>16</v>
      </c>
      <c r="H9" s="15">
        <v>1.0</v>
      </c>
    </row>
    <row r="10" ht="15.75" customHeight="1">
      <c r="B10" s="10">
        <v>2.0</v>
      </c>
      <c r="C10" s="11" t="s">
        <v>12</v>
      </c>
      <c r="D10" s="16" t="s">
        <v>13</v>
      </c>
      <c r="E10" s="16" t="s">
        <v>14</v>
      </c>
      <c r="F10" s="13" t="s">
        <v>17</v>
      </c>
      <c r="G10" s="14" t="s">
        <v>16</v>
      </c>
      <c r="H10" s="17">
        <v>1.0</v>
      </c>
    </row>
    <row r="11" ht="15.75" customHeight="1">
      <c r="B11" s="10">
        <v>3.0</v>
      </c>
      <c r="C11" s="11" t="s">
        <v>12</v>
      </c>
      <c r="D11" s="16" t="s">
        <v>13</v>
      </c>
      <c r="E11" s="16" t="s">
        <v>14</v>
      </c>
      <c r="F11" s="13" t="s">
        <v>18</v>
      </c>
      <c r="G11" s="14" t="s">
        <v>16</v>
      </c>
      <c r="H11" s="17">
        <v>1.0</v>
      </c>
    </row>
    <row r="12" ht="15.75" customHeight="1">
      <c r="B12" s="10">
        <v>4.0</v>
      </c>
      <c r="C12" s="11" t="s">
        <v>12</v>
      </c>
      <c r="D12" s="16" t="s">
        <v>13</v>
      </c>
      <c r="E12" s="16" t="s">
        <v>14</v>
      </c>
      <c r="F12" s="13" t="s">
        <v>19</v>
      </c>
      <c r="G12" s="14" t="s">
        <v>16</v>
      </c>
      <c r="H12" s="17">
        <v>1.0</v>
      </c>
    </row>
    <row r="13" ht="15.75" customHeight="1">
      <c r="B13" s="10">
        <v>5.0</v>
      </c>
      <c r="C13" s="11" t="s">
        <v>12</v>
      </c>
      <c r="D13" s="16" t="s">
        <v>13</v>
      </c>
      <c r="E13" s="16" t="s">
        <v>14</v>
      </c>
      <c r="F13" s="13" t="s">
        <v>20</v>
      </c>
      <c r="G13" s="14" t="s">
        <v>16</v>
      </c>
      <c r="H13" s="17">
        <v>1.0</v>
      </c>
    </row>
    <row r="14" ht="15.75" customHeight="1">
      <c r="B14" s="10">
        <v>6.0</v>
      </c>
      <c r="C14" s="11" t="s">
        <v>12</v>
      </c>
      <c r="D14" s="12" t="s">
        <v>13</v>
      </c>
      <c r="E14" s="12" t="s">
        <v>14</v>
      </c>
      <c r="F14" s="13" t="s">
        <v>21</v>
      </c>
      <c r="G14" s="14" t="s">
        <v>16</v>
      </c>
      <c r="H14" s="17">
        <v>2.0</v>
      </c>
    </row>
    <row r="15" ht="15.75" customHeight="1">
      <c r="B15" s="10">
        <v>7.0</v>
      </c>
      <c r="C15" s="11" t="s">
        <v>12</v>
      </c>
      <c r="D15" s="16" t="s">
        <v>13</v>
      </c>
      <c r="E15" s="16" t="s">
        <v>14</v>
      </c>
      <c r="F15" s="13" t="s">
        <v>22</v>
      </c>
      <c r="G15" s="14" t="s">
        <v>16</v>
      </c>
      <c r="H15" s="17">
        <v>2.0</v>
      </c>
    </row>
    <row r="16" ht="15.75" customHeight="1">
      <c r="B16" s="10">
        <v>8.0</v>
      </c>
      <c r="C16" s="11" t="s">
        <v>12</v>
      </c>
      <c r="D16" s="16" t="s">
        <v>13</v>
      </c>
      <c r="E16" s="16" t="s">
        <v>23</v>
      </c>
      <c r="F16" s="13" t="s">
        <v>24</v>
      </c>
      <c r="G16" s="14" t="s">
        <v>16</v>
      </c>
      <c r="H16" s="17">
        <v>2.0</v>
      </c>
    </row>
    <row r="17" ht="15.75" customHeight="1">
      <c r="B17" s="10">
        <v>9.0</v>
      </c>
      <c r="C17" s="11" t="s">
        <v>12</v>
      </c>
      <c r="D17" s="16" t="s">
        <v>13</v>
      </c>
      <c r="E17" s="16" t="s">
        <v>23</v>
      </c>
      <c r="F17" s="13" t="s">
        <v>25</v>
      </c>
      <c r="G17" s="14" t="s">
        <v>16</v>
      </c>
      <c r="H17" s="17">
        <v>2.0</v>
      </c>
    </row>
    <row r="18" ht="15.75" customHeight="1">
      <c r="B18" s="10">
        <v>10.0</v>
      </c>
      <c r="C18" s="11" t="s">
        <v>12</v>
      </c>
      <c r="D18" s="12" t="s">
        <v>13</v>
      </c>
      <c r="E18" s="12" t="s">
        <v>23</v>
      </c>
      <c r="F18" s="13" t="s">
        <v>26</v>
      </c>
      <c r="G18" s="14" t="s">
        <v>16</v>
      </c>
      <c r="H18" s="17">
        <v>2.0</v>
      </c>
    </row>
    <row r="19" ht="15.75" customHeight="1">
      <c r="B19" s="10">
        <v>11.0</v>
      </c>
      <c r="C19" s="11" t="s">
        <v>12</v>
      </c>
      <c r="D19" s="16" t="s">
        <v>13</v>
      </c>
      <c r="E19" s="16" t="s">
        <v>23</v>
      </c>
      <c r="F19" s="13" t="s">
        <v>27</v>
      </c>
      <c r="G19" s="14" t="s">
        <v>16</v>
      </c>
      <c r="H19" s="17">
        <v>2.0</v>
      </c>
    </row>
    <row r="20" ht="15.75" customHeight="1">
      <c r="B20" s="10">
        <v>12.0</v>
      </c>
      <c r="C20" s="11" t="s">
        <v>12</v>
      </c>
      <c r="D20" s="16" t="s">
        <v>13</v>
      </c>
      <c r="E20" s="16" t="s">
        <v>23</v>
      </c>
      <c r="F20" s="13" t="s">
        <v>28</v>
      </c>
      <c r="G20" s="14" t="s">
        <v>16</v>
      </c>
      <c r="H20" s="17">
        <v>2.0</v>
      </c>
    </row>
    <row r="21" ht="15.75" customHeight="1">
      <c r="B21" s="10">
        <v>13.0</v>
      </c>
      <c r="C21" s="11" t="s">
        <v>12</v>
      </c>
      <c r="D21" s="16" t="s">
        <v>13</v>
      </c>
      <c r="E21" s="16" t="s">
        <v>23</v>
      </c>
      <c r="F21" s="13" t="s">
        <v>29</v>
      </c>
      <c r="G21" s="14" t="s">
        <v>16</v>
      </c>
      <c r="H21" s="17">
        <v>2.0</v>
      </c>
    </row>
    <row r="22" ht="15.75" customHeight="1">
      <c r="B22" s="10">
        <v>14.0</v>
      </c>
      <c r="C22" s="11" t="s">
        <v>12</v>
      </c>
      <c r="D22" s="16" t="s">
        <v>13</v>
      </c>
      <c r="E22" s="16" t="s">
        <v>23</v>
      </c>
      <c r="F22" s="13" t="s">
        <v>30</v>
      </c>
      <c r="G22" s="14" t="s">
        <v>16</v>
      </c>
      <c r="H22" s="17">
        <v>2.0</v>
      </c>
    </row>
    <row r="23" ht="15.75" customHeight="1">
      <c r="B23" s="10">
        <v>15.0</v>
      </c>
      <c r="C23" s="18" t="s">
        <v>31</v>
      </c>
      <c r="D23" s="16" t="s">
        <v>32</v>
      </c>
      <c r="E23" s="16" t="s">
        <v>33</v>
      </c>
      <c r="F23" s="13" t="s">
        <v>34</v>
      </c>
      <c r="G23" s="14" t="s">
        <v>16</v>
      </c>
      <c r="H23" s="17">
        <v>2.0</v>
      </c>
    </row>
    <row r="24" ht="15.75" customHeight="1">
      <c r="B24" s="10">
        <v>16.0</v>
      </c>
      <c r="C24" s="18" t="s">
        <v>31</v>
      </c>
      <c r="D24" s="12" t="s">
        <v>32</v>
      </c>
      <c r="E24" s="12" t="s">
        <v>33</v>
      </c>
      <c r="F24" s="13" t="s">
        <v>35</v>
      </c>
      <c r="G24" s="14" t="s">
        <v>16</v>
      </c>
      <c r="H24" s="17">
        <v>2.0</v>
      </c>
    </row>
    <row r="25" ht="15.75" customHeight="1">
      <c r="B25" s="10">
        <v>17.0</v>
      </c>
      <c r="C25" s="18" t="s">
        <v>31</v>
      </c>
      <c r="D25" s="16" t="s">
        <v>32</v>
      </c>
      <c r="E25" s="16" t="s">
        <v>33</v>
      </c>
      <c r="F25" s="13" t="s">
        <v>36</v>
      </c>
      <c r="G25" s="14" t="s">
        <v>16</v>
      </c>
      <c r="H25" s="17">
        <v>3.0</v>
      </c>
    </row>
    <row r="26" ht="15.75" customHeight="1">
      <c r="B26" s="10">
        <v>18.0</v>
      </c>
      <c r="C26" s="18" t="s">
        <v>31</v>
      </c>
      <c r="D26" s="16" t="s">
        <v>32</v>
      </c>
      <c r="E26" s="16" t="s">
        <v>33</v>
      </c>
      <c r="F26" s="13" t="s">
        <v>37</v>
      </c>
      <c r="G26" s="14" t="s">
        <v>16</v>
      </c>
      <c r="H26" s="17">
        <v>3.0</v>
      </c>
    </row>
    <row r="27" ht="15.75" customHeight="1">
      <c r="B27" s="10">
        <v>19.0</v>
      </c>
      <c r="C27" s="18" t="s">
        <v>31</v>
      </c>
      <c r="D27" s="16" t="s">
        <v>32</v>
      </c>
      <c r="E27" s="16" t="s">
        <v>33</v>
      </c>
      <c r="F27" s="13" t="s">
        <v>38</v>
      </c>
      <c r="G27" s="14" t="s">
        <v>16</v>
      </c>
      <c r="H27" s="17">
        <v>3.0</v>
      </c>
    </row>
    <row r="28" ht="15.75" customHeight="1">
      <c r="B28" s="10">
        <v>20.0</v>
      </c>
      <c r="C28" s="18" t="s">
        <v>31</v>
      </c>
      <c r="D28" s="16" t="s">
        <v>32</v>
      </c>
      <c r="E28" s="16" t="s">
        <v>33</v>
      </c>
      <c r="F28" s="13" t="s">
        <v>39</v>
      </c>
      <c r="G28" s="14" t="s">
        <v>16</v>
      </c>
      <c r="H28" s="17">
        <v>3.0</v>
      </c>
    </row>
    <row r="29" ht="15.75" customHeight="1">
      <c r="B29" s="10">
        <v>21.0</v>
      </c>
      <c r="C29" s="18" t="s">
        <v>31</v>
      </c>
      <c r="D29" s="12" t="s">
        <v>32</v>
      </c>
      <c r="E29" s="12" t="s">
        <v>33</v>
      </c>
      <c r="F29" s="13" t="s">
        <v>40</v>
      </c>
      <c r="G29" s="14" t="s">
        <v>16</v>
      </c>
      <c r="H29" s="17">
        <v>3.0</v>
      </c>
    </row>
    <row r="30" ht="15.75" customHeight="1">
      <c r="B30" s="10">
        <v>22.0</v>
      </c>
      <c r="C30" s="18" t="s">
        <v>31</v>
      </c>
      <c r="D30" s="16" t="s">
        <v>32</v>
      </c>
      <c r="E30" s="16" t="s">
        <v>41</v>
      </c>
      <c r="F30" s="13" t="s">
        <v>42</v>
      </c>
      <c r="G30" s="14" t="s">
        <v>16</v>
      </c>
      <c r="H30" s="17">
        <v>3.0</v>
      </c>
    </row>
    <row r="31" ht="15.75" customHeight="1">
      <c r="B31" s="10">
        <v>23.0</v>
      </c>
      <c r="C31" s="18" t="s">
        <v>31</v>
      </c>
      <c r="D31" s="16" t="s">
        <v>32</v>
      </c>
      <c r="E31" s="16" t="s">
        <v>41</v>
      </c>
      <c r="F31" s="13" t="s">
        <v>43</v>
      </c>
      <c r="G31" s="14" t="s">
        <v>16</v>
      </c>
      <c r="H31" s="17">
        <v>3.0</v>
      </c>
    </row>
    <row r="32" ht="15.75" customHeight="1">
      <c r="B32" s="10">
        <v>24.0</v>
      </c>
      <c r="C32" s="18" t="s">
        <v>31</v>
      </c>
      <c r="D32" s="12" t="s">
        <v>32</v>
      </c>
      <c r="E32" s="12" t="s">
        <v>41</v>
      </c>
      <c r="F32" s="13" t="s">
        <v>44</v>
      </c>
      <c r="G32" s="14" t="s">
        <v>16</v>
      </c>
      <c r="H32" s="17">
        <v>3.0</v>
      </c>
    </row>
    <row r="33" ht="15.75" customHeight="1">
      <c r="B33" s="10">
        <v>25.0</v>
      </c>
      <c r="C33" s="18" t="s">
        <v>31</v>
      </c>
      <c r="D33" s="16" t="s">
        <v>32</v>
      </c>
      <c r="E33" s="16" t="s">
        <v>41</v>
      </c>
      <c r="F33" s="13" t="s">
        <v>45</v>
      </c>
      <c r="G33" s="14" t="s">
        <v>16</v>
      </c>
      <c r="H33" s="17">
        <v>3.0</v>
      </c>
    </row>
    <row r="34" ht="15.75" customHeight="1">
      <c r="B34" s="10">
        <v>26.0</v>
      </c>
      <c r="C34" s="18" t="s">
        <v>31</v>
      </c>
      <c r="D34" s="16" t="s">
        <v>32</v>
      </c>
      <c r="E34" s="16" t="s">
        <v>41</v>
      </c>
      <c r="F34" s="13" t="s">
        <v>46</v>
      </c>
      <c r="G34" s="14" t="s">
        <v>16</v>
      </c>
      <c r="H34" s="17">
        <v>3.0</v>
      </c>
    </row>
    <row r="35" ht="15.75" customHeight="1">
      <c r="B35" s="10">
        <v>27.0</v>
      </c>
      <c r="C35" s="11" t="s">
        <v>47</v>
      </c>
      <c r="D35" s="16" t="s">
        <v>32</v>
      </c>
      <c r="E35" s="16" t="s">
        <v>41</v>
      </c>
      <c r="F35" s="13" t="s">
        <v>48</v>
      </c>
      <c r="G35" s="14" t="s">
        <v>16</v>
      </c>
      <c r="H35" s="17">
        <v>3.0</v>
      </c>
    </row>
    <row r="36" ht="15.75" customHeight="1">
      <c r="B36" s="10">
        <v>28.0</v>
      </c>
      <c r="C36" s="11" t="s">
        <v>49</v>
      </c>
      <c r="D36" s="12" t="s">
        <v>32</v>
      </c>
      <c r="E36" s="12" t="s">
        <v>41</v>
      </c>
      <c r="F36" s="13" t="s">
        <v>30</v>
      </c>
      <c r="G36" s="14" t="s">
        <v>16</v>
      </c>
      <c r="H36" s="17">
        <v>3.0</v>
      </c>
    </row>
    <row r="37" ht="15.75" customHeight="1">
      <c r="B37" s="10">
        <v>29.0</v>
      </c>
      <c r="C37" s="18" t="s">
        <v>50</v>
      </c>
      <c r="D37" s="16" t="s">
        <v>51</v>
      </c>
      <c r="E37" s="16" t="s">
        <v>52</v>
      </c>
      <c r="F37" s="13" t="s">
        <v>53</v>
      </c>
      <c r="G37" s="14" t="s">
        <v>16</v>
      </c>
      <c r="H37" s="17">
        <v>4.0</v>
      </c>
    </row>
    <row r="38" ht="15.75" customHeight="1">
      <c r="B38" s="10">
        <v>30.0</v>
      </c>
      <c r="C38" s="18" t="s">
        <v>50</v>
      </c>
      <c r="D38" s="16" t="s">
        <v>51</v>
      </c>
      <c r="E38" s="16" t="s">
        <v>52</v>
      </c>
      <c r="F38" s="13" t="s">
        <v>54</v>
      </c>
      <c r="G38" s="14" t="s">
        <v>16</v>
      </c>
      <c r="H38" s="17">
        <v>4.0</v>
      </c>
    </row>
    <row r="39" ht="15.75" customHeight="1">
      <c r="B39" s="10">
        <v>31.0</v>
      </c>
      <c r="C39" s="18" t="s">
        <v>50</v>
      </c>
      <c r="D39" s="16" t="s">
        <v>51</v>
      </c>
      <c r="E39" s="16" t="s">
        <v>52</v>
      </c>
      <c r="F39" s="13" t="s">
        <v>55</v>
      </c>
      <c r="G39" s="14" t="s">
        <v>16</v>
      </c>
      <c r="H39" s="17">
        <v>4.0</v>
      </c>
    </row>
    <row r="40" ht="15.75" customHeight="1">
      <c r="B40" s="10">
        <v>32.0</v>
      </c>
      <c r="C40" s="18" t="s">
        <v>50</v>
      </c>
      <c r="D40" s="16" t="s">
        <v>51</v>
      </c>
      <c r="E40" s="16" t="s">
        <v>52</v>
      </c>
      <c r="F40" s="13" t="s">
        <v>56</v>
      </c>
      <c r="G40" s="14" t="s">
        <v>16</v>
      </c>
      <c r="H40" s="17">
        <v>4.0</v>
      </c>
    </row>
    <row r="41" ht="15.75" customHeight="1">
      <c r="B41" s="10">
        <v>33.0</v>
      </c>
      <c r="C41" s="18" t="s">
        <v>50</v>
      </c>
      <c r="D41" s="16" t="s">
        <v>51</v>
      </c>
      <c r="E41" s="16" t="s">
        <v>52</v>
      </c>
      <c r="F41" s="13" t="s">
        <v>57</v>
      </c>
      <c r="G41" s="14" t="s">
        <v>16</v>
      </c>
      <c r="H41" s="17">
        <v>4.0</v>
      </c>
    </row>
    <row r="42" ht="15.75" customHeight="1">
      <c r="B42" s="10">
        <v>34.0</v>
      </c>
      <c r="C42" s="18" t="s">
        <v>50</v>
      </c>
      <c r="D42" s="16" t="s">
        <v>51</v>
      </c>
      <c r="E42" s="16" t="s">
        <v>52</v>
      </c>
      <c r="F42" s="13" t="s">
        <v>58</v>
      </c>
      <c r="G42" s="14" t="s">
        <v>16</v>
      </c>
      <c r="H42" s="17">
        <v>4.0</v>
      </c>
    </row>
    <row r="43" ht="15.75" customHeight="1">
      <c r="B43" s="10">
        <v>35.0</v>
      </c>
      <c r="C43" s="18" t="s">
        <v>50</v>
      </c>
      <c r="D43" s="16" t="s">
        <v>51</v>
      </c>
      <c r="E43" s="16" t="s">
        <v>52</v>
      </c>
      <c r="F43" s="13" t="s">
        <v>59</v>
      </c>
      <c r="G43" s="14" t="s">
        <v>16</v>
      </c>
      <c r="H43" s="17">
        <v>4.0</v>
      </c>
    </row>
    <row r="44" ht="15.75" customHeight="1">
      <c r="B44" s="10">
        <v>36.0</v>
      </c>
      <c r="C44" s="18" t="s">
        <v>50</v>
      </c>
      <c r="D44" s="16" t="s">
        <v>51</v>
      </c>
      <c r="E44" s="19" t="s">
        <v>60</v>
      </c>
      <c r="F44" s="13" t="s">
        <v>61</v>
      </c>
      <c r="G44" s="14" t="s">
        <v>16</v>
      </c>
      <c r="H44" s="17">
        <v>4.0</v>
      </c>
    </row>
    <row r="45" ht="15.75" customHeight="1">
      <c r="B45" s="10">
        <v>37.0</v>
      </c>
      <c r="C45" s="18" t="s">
        <v>50</v>
      </c>
      <c r="D45" s="16" t="s">
        <v>51</v>
      </c>
      <c r="E45" s="19" t="s">
        <v>60</v>
      </c>
      <c r="F45" s="13" t="s">
        <v>62</v>
      </c>
      <c r="G45" s="14" t="s">
        <v>16</v>
      </c>
      <c r="H45" s="17">
        <v>4.0</v>
      </c>
    </row>
    <row r="46" ht="15.75" customHeight="1">
      <c r="B46" s="10">
        <v>38.0</v>
      </c>
      <c r="C46" s="18" t="s">
        <v>50</v>
      </c>
      <c r="D46" s="16" t="s">
        <v>51</v>
      </c>
      <c r="E46" s="19" t="s">
        <v>60</v>
      </c>
      <c r="F46" s="20" t="s">
        <v>63</v>
      </c>
      <c r="G46" s="14" t="s">
        <v>16</v>
      </c>
      <c r="H46" s="15">
        <v>4.0</v>
      </c>
    </row>
    <row r="47" ht="15.75" customHeight="1">
      <c r="B47" s="10">
        <v>39.0</v>
      </c>
      <c r="C47" s="18" t="s">
        <v>50</v>
      </c>
      <c r="D47" s="16" t="s">
        <v>51</v>
      </c>
      <c r="E47" s="19" t="s">
        <v>60</v>
      </c>
      <c r="F47" s="20" t="s">
        <v>64</v>
      </c>
      <c r="G47" s="14" t="s">
        <v>16</v>
      </c>
      <c r="H47" s="15">
        <v>4.0</v>
      </c>
    </row>
    <row r="48" ht="15.75" customHeight="1">
      <c r="B48" s="10">
        <v>40.0</v>
      </c>
      <c r="C48" s="18" t="s">
        <v>50</v>
      </c>
      <c r="D48" s="16" t="s">
        <v>51</v>
      </c>
      <c r="E48" s="19" t="s">
        <v>60</v>
      </c>
      <c r="F48" s="20" t="s">
        <v>65</v>
      </c>
      <c r="G48" s="14" t="s">
        <v>16</v>
      </c>
      <c r="H48" s="15">
        <v>4.0</v>
      </c>
    </row>
    <row r="49" ht="15.75" customHeight="1">
      <c r="B49" s="10">
        <v>41.0</v>
      </c>
      <c r="C49" s="18" t="s">
        <v>50</v>
      </c>
      <c r="D49" s="16" t="s">
        <v>51</v>
      </c>
      <c r="E49" s="19" t="s">
        <v>60</v>
      </c>
      <c r="F49" s="20" t="s">
        <v>66</v>
      </c>
      <c r="G49" s="14" t="s">
        <v>16</v>
      </c>
      <c r="H49" s="15">
        <v>4.0</v>
      </c>
    </row>
    <row r="50" ht="15.75" customHeight="1">
      <c r="B50" s="10">
        <v>42.0</v>
      </c>
      <c r="C50" s="18" t="s">
        <v>50</v>
      </c>
      <c r="D50" s="16" t="s">
        <v>51</v>
      </c>
      <c r="E50" s="19" t="s">
        <v>60</v>
      </c>
      <c r="F50" s="20" t="s">
        <v>67</v>
      </c>
      <c r="G50" s="14" t="s">
        <v>16</v>
      </c>
      <c r="H50" s="15">
        <v>4.0</v>
      </c>
    </row>
    <row r="51" ht="15.75" customHeight="1">
      <c r="B51" s="10">
        <v>43.0</v>
      </c>
      <c r="C51" s="18" t="s">
        <v>50</v>
      </c>
      <c r="D51" s="16" t="s">
        <v>51</v>
      </c>
      <c r="E51" s="16" t="s">
        <v>68</v>
      </c>
      <c r="F51" s="20" t="s">
        <v>69</v>
      </c>
      <c r="G51" s="21" t="s">
        <v>70</v>
      </c>
      <c r="H51" s="15">
        <v>5.0</v>
      </c>
    </row>
    <row r="52" ht="15.75" customHeight="1">
      <c r="B52" s="10">
        <v>44.0</v>
      </c>
      <c r="C52" s="18" t="s">
        <v>50</v>
      </c>
      <c r="D52" s="16" t="s">
        <v>51</v>
      </c>
      <c r="E52" s="16" t="s">
        <v>68</v>
      </c>
      <c r="F52" s="20" t="s">
        <v>71</v>
      </c>
      <c r="G52" s="21" t="s">
        <v>70</v>
      </c>
      <c r="H52" s="15">
        <v>5.0</v>
      </c>
    </row>
    <row r="53" ht="15.75" customHeight="1">
      <c r="B53" s="10">
        <v>45.0</v>
      </c>
      <c r="C53" s="18" t="s">
        <v>50</v>
      </c>
      <c r="D53" s="16" t="s">
        <v>51</v>
      </c>
      <c r="E53" s="16" t="s">
        <v>68</v>
      </c>
      <c r="F53" s="20" t="s">
        <v>72</v>
      </c>
      <c r="G53" s="21" t="s">
        <v>70</v>
      </c>
      <c r="H53" s="15">
        <v>5.0</v>
      </c>
    </row>
    <row r="54" ht="15.75" customHeight="1">
      <c r="B54" s="10">
        <v>46.0</v>
      </c>
      <c r="C54" s="18" t="s">
        <v>50</v>
      </c>
      <c r="D54" s="16" t="s">
        <v>51</v>
      </c>
      <c r="E54" s="16" t="s">
        <v>68</v>
      </c>
      <c r="F54" s="20" t="s">
        <v>73</v>
      </c>
      <c r="G54" s="21" t="s">
        <v>70</v>
      </c>
      <c r="H54" s="15">
        <v>5.0</v>
      </c>
    </row>
    <row r="55" ht="15.75" customHeight="1">
      <c r="B55" s="10">
        <v>47.0</v>
      </c>
      <c r="C55" s="18" t="s">
        <v>50</v>
      </c>
      <c r="D55" s="16" t="s">
        <v>51</v>
      </c>
      <c r="E55" s="16" t="s">
        <v>68</v>
      </c>
      <c r="F55" s="20" t="s">
        <v>74</v>
      </c>
      <c r="G55" s="21" t="s">
        <v>70</v>
      </c>
      <c r="H55" s="15">
        <v>5.0</v>
      </c>
    </row>
    <row r="56" ht="15.75" customHeight="1">
      <c r="B56" s="10">
        <v>48.0</v>
      </c>
      <c r="C56" s="18" t="s">
        <v>50</v>
      </c>
      <c r="D56" s="16" t="s">
        <v>51</v>
      </c>
      <c r="E56" s="16" t="s">
        <v>68</v>
      </c>
      <c r="F56" s="20" t="s">
        <v>75</v>
      </c>
      <c r="G56" s="21" t="s">
        <v>70</v>
      </c>
      <c r="H56" s="15">
        <v>5.0</v>
      </c>
    </row>
    <row r="57" ht="15.75" customHeight="1">
      <c r="B57" s="10">
        <v>49.0</v>
      </c>
      <c r="C57" s="18" t="s">
        <v>50</v>
      </c>
      <c r="D57" s="16" t="s">
        <v>51</v>
      </c>
      <c r="E57" s="16" t="s">
        <v>68</v>
      </c>
      <c r="F57" s="20" t="s">
        <v>76</v>
      </c>
      <c r="G57" s="21" t="s">
        <v>70</v>
      </c>
      <c r="H57" s="15">
        <v>5.0</v>
      </c>
    </row>
    <row r="58" ht="15.75" customHeight="1">
      <c r="B58" s="10">
        <v>50.0</v>
      </c>
      <c r="C58" s="18" t="s">
        <v>77</v>
      </c>
      <c r="D58" s="16" t="s">
        <v>78</v>
      </c>
      <c r="E58" s="16" t="s">
        <v>79</v>
      </c>
      <c r="F58" s="20" t="s">
        <v>80</v>
      </c>
      <c r="G58" s="21" t="s">
        <v>70</v>
      </c>
      <c r="H58" s="15">
        <v>6.0</v>
      </c>
    </row>
    <row r="59" ht="15.75" customHeight="1">
      <c r="B59" s="10">
        <v>51.0</v>
      </c>
      <c r="C59" s="18" t="s">
        <v>77</v>
      </c>
      <c r="D59" s="16" t="s">
        <v>78</v>
      </c>
      <c r="E59" s="16" t="s">
        <v>79</v>
      </c>
      <c r="F59" s="20" t="s">
        <v>81</v>
      </c>
      <c r="G59" s="21" t="s">
        <v>70</v>
      </c>
      <c r="H59" s="15">
        <v>6.0</v>
      </c>
    </row>
    <row r="60" ht="15.75" customHeight="1">
      <c r="B60" s="10">
        <v>52.0</v>
      </c>
      <c r="C60" s="18" t="s">
        <v>82</v>
      </c>
      <c r="D60" s="16" t="s">
        <v>78</v>
      </c>
      <c r="E60" s="16" t="s">
        <v>79</v>
      </c>
      <c r="F60" s="20" t="s">
        <v>83</v>
      </c>
      <c r="G60" s="21" t="s">
        <v>70</v>
      </c>
      <c r="H60" s="15">
        <v>6.0</v>
      </c>
    </row>
    <row r="61" ht="15.75" customHeight="1">
      <c r="B61" s="10">
        <v>53.0</v>
      </c>
      <c r="C61" s="18" t="s">
        <v>77</v>
      </c>
      <c r="D61" s="16" t="s">
        <v>78</v>
      </c>
      <c r="E61" s="16" t="s">
        <v>79</v>
      </c>
      <c r="F61" s="16" t="s">
        <v>84</v>
      </c>
      <c r="G61" s="21" t="s">
        <v>70</v>
      </c>
      <c r="H61" s="15">
        <v>6.0</v>
      </c>
    </row>
    <row r="62" ht="15.75" customHeight="1">
      <c r="B62" s="10">
        <v>54.0</v>
      </c>
      <c r="C62" s="18" t="s">
        <v>77</v>
      </c>
      <c r="D62" s="16" t="s">
        <v>78</v>
      </c>
      <c r="E62" s="16" t="s">
        <v>79</v>
      </c>
      <c r="F62" s="16" t="s">
        <v>85</v>
      </c>
      <c r="G62" s="21" t="s">
        <v>70</v>
      </c>
      <c r="H62" s="15">
        <v>6.0</v>
      </c>
    </row>
    <row r="63" ht="15.75" customHeight="1">
      <c r="B63" s="10">
        <v>55.0</v>
      </c>
      <c r="C63" s="18" t="s">
        <v>77</v>
      </c>
      <c r="D63" s="16" t="s">
        <v>78</v>
      </c>
      <c r="E63" s="16" t="s">
        <v>79</v>
      </c>
      <c r="F63" s="16" t="s">
        <v>86</v>
      </c>
      <c r="G63" s="21" t="s">
        <v>70</v>
      </c>
      <c r="H63" s="15">
        <v>6.0</v>
      </c>
    </row>
    <row r="64" ht="15.75" customHeight="1">
      <c r="B64" s="10">
        <v>56.0</v>
      </c>
      <c r="C64" s="18" t="s">
        <v>77</v>
      </c>
      <c r="D64" s="16" t="s">
        <v>78</v>
      </c>
      <c r="E64" s="16" t="s">
        <v>79</v>
      </c>
      <c r="F64" s="20" t="s">
        <v>87</v>
      </c>
      <c r="G64" s="21" t="s">
        <v>70</v>
      </c>
      <c r="H64" s="15">
        <v>6.0</v>
      </c>
    </row>
    <row r="65" ht="15.75" customHeight="1">
      <c r="B65" s="10">
        <v>57.0</v>
      </c>
      <c r="C65" s="18" t="s">
        <v>88</v>
      </c>
      <c r="D65" s="16" t="s">
        <v>89</v>
      </c>
      <c r="E65" s="16" t="s">
        <v>90</v>
      </c>
      <c r="F65" s="20" t="s">
        <v>91</v>
      </c>
      <c r="G65" s="21" t="s">
        <v>70</v>
      </c>
      <c r="H65" s="15">
        <v>7.0</v>
      </c>
    </row>
    <row r="66" ht="15.75" customHeight="1">
      <c r="B66" s="10">
        <v>58.0</v>
      </c>
      <c r="C66" s="18" t="s">
        <v>88</v>
      </c>
      <c r="D66" s="16" t="s">
        <v>89</v>
      </c>
      <c r="E66" s="16" t="s">
        <v>90</v>
      </c>
      <c r="F66" s="20" t="s">
        <v>92</v>
      </c>
      <c r="G66" s="21" t="s">
        <v>70</v>
      </c>
      <c r="H66" s="15">
        <v>7.0</v>
      </c>
    </row>
    <row r="67" ht="15.75" customHeight="1">
      <c r="B67" s="10">
        <v>59.0</v>
      </c>
      <c r="C67" s="18" t="s">
        <v>88</v>
      </c>
      <c r="D67" s="16" t="s">
        <v>89</v>
      </c>
      <c r="E67" s="16" t="s">
        <v>90</v>
      </c>
      <c r="F67" s="20" t="s">
        <v>93</v>
      </c>
      <c r="G67" s="21" t="s">
        <v>70</v>
      </c>
      <c r="H67" s="15">
        <v>7.0</v>
      </c>
    </row>
    <row r="68" ht="15.75" customHeight="1">
      <c r="B68" s="10">
        <v>60.0</v>
      </c>
      <c r="C68" s="18" t="s">
        <v>88</v>
      </c>
      <c r="D68" s="16" t="s">
        <v>89</v>
      </c>
      <c r="E68" s="16" t="s">
        <v>90</v>
      </c>
      <c r="F68" s="20" t="s">
        <v>94</v>
      </c>
      <c r="G68" s="21" t="s">
        <v>70</v>
      </c>
      <c r="H68" s="15">
        <v>7.0</v>
      </c>
    </row>
    <row r="69" ht="15.75" customHeight="1">
      <c r="B69" s="10">
        <v>61.0</v>
      </c>
      <c r="C69" s="18" t="s">
        <v>88</v>
      </c>
      <c r="D69" s="16" t="s">
        <v>89</v>
      </c>
      <c r="E69" s="16" t="s">
        <v>90</v>
      </c>
      <c r="F69" s="20" t="s">
        <v>95</v>
      </c>
      <c r="G69" s="21" t="s">
        <v>70</v>
      </c>
      <c r="H69" s="15">
        <v>7.0</v>
      </c>
    </row>
    <row r="70" ht="15.75" customHeight="1">
      <c r="B70" s="10">
        <v>62.0</v>
      </c>
      <c r="C70" s="18" t="s">
        <v>88</v>
      </c>
      <c r="D70" s="16" t="s">
        <v>89</v>
      </c>
      <c r="E70" s="16" t="s">
        <v>90</v>
      </c>
      <c r="F70" s="20" t="s">
        <v>96</v>
      </c>
      <c r="G70" s="21" t="s">
        <v>70</v>
      </c>
      <c r="H70" s="15">
        <v>7.0</v>
      </c>
    </row>
    <row r="71" ht="15.75" customHeight="1">
      <c r="B71" s="10">
        <v>63.0</v>
      </c>
      <c r="C71" s="18" t="s">
        <v>88</v>
      </c>
      <c r="D71" s="16" t="s">
        <v>89</v>
      </c>
      <c r="E71" s="16" t="s">
        <v>90</v>
      </c>
      <c r="F71" s="20" t="s">
        <v>97</v>
      </c>
      <c r="G71" s="21" t="s">
        <v>70</v>
      </c>
      <c r="H71" s="15">
        <v>7.0</v>
      </c>
    </row>
    <row r="72" ht="15.75" customHeight="1">
      <c r="B72" s="10">
        <v>64.0</v>
      </c>
      <c r="C72" s="18" t="s">
        <v>88</v>
      </c>
      <c r="D72" s="16" t="s">
        <v>89</v>
      </c>
      <c r="E72" s="16" t="s">
        <v>98</v>
      </c>
      <c r="F72" s="20" t="s">
        <v>99</v>
      </c>
      <c r="G72" s="21" t="s">
        <v>70</v>
      </c>
      <c r="H72" s="15">
        <v>7.0</v>
      </c>
    </row>
    <row r="73" ht="15.75" customHeight="1">
      <c r="B73" s="10">
        <v>65.0</v>
      </c>
      <c r="C73" s="18" t="s">
        <v>88</v>
      </c>
      <c r="D73" s="16" t="s">
        <v>89</v>
      </c>
      <c r="E73" s="16" t="s">
        <v>98</v>
      </c>
      <c r="F73" s="20" t="s">
        <v>100</v>
      </c>
      <c r="G73" s="21" t="s">
        <v>70</v>
      </c>
      <c r="H73" s="15">
        <v>8.0</v>
      </c>
    </row>
    <row r="74" ht="15.75" customHeight="1">
      <c r="B74" s="10">
        <v>66.0</v>
      </c>
      <c r="C74" s="18" t="s">
        <v>88</v>
      </c>
      <c r="D74" s="16" t="s">
        <v>89</v>
      </c>
      <c r="E74" s="16" t="s">
        <v>98</v>
      </c>
      <c r="F74" s="20" t="s">
        <v>101</v>
      </c>
      <c r="G74" s="21" t="s">
        <v>70</v>
      </c>
      <c r="H74" s="15">
        <v>8.0</v>
      </c>
    </row>
    <row r="75" ht="15.75" customHeight="1">
      <c r="B75" s="10">
        <v>67.0</v>
      </c>
      <c r="C75" s="18" t="s">
        <v>88</v>
      </c>
      <c r="D75" s="16" t="s">
        <v>89</v>
      </c>
      <c r="E75" s="16" t="s">
        <v>98</v>
      </c>
      <c r="F75" s="20" t="s">
        <v>102</v>
      </c>
      <c r="G75" s="21" t="s">
        <v>70</v>
      </c>
      <c r="H75" s="15">
        <v>8.0</v>
      </c>
    </row>
    <row r="76" ht="15.75" customHeight="1">
      <c r="B76" s="10">
        <v>68.0</v>
      </c>
      <c r="C76" s="18" t="s">
        <v>88</v>
      </c>
      <c r="D76" s="16" t="s">
        <v>89</v>
      </c>
      <c r="E76" s="16" t="s">
        <v>98</v>
      </c>
      <c r="F76" s="20" t="s">
        <v>103</v>
      </c>
      <c r="G76" s="21" t="s">
        <v>70</v>
      </c>
      <c r="H76" s="15">
        <v>8.0</v>
      </c>
    </row>
    <row r="77" ht="15.75" customHeight="1">
      <c r="B77" s="10">
        <v>69.0</v>
      </c>
      <c r="C77" s="18" t="s">
        <v>88</v>
      </c>
      <c r="D77" s="16" t="s">
        <v>89</v>
      </c>
      <c r="E77" s="16" t="s">
        <v>98</v>
      </c>
      <c r="F77" s="20" t="s">
        <v>104</v>
      </c>
      <c r="G77" s="21" t="s">
        <v>70</v>
      </c>
      <c r="H77" s="15">
        <v>8.0</v>
      </c>
    </row>
    <row r="78" ht="15.75" customHeight="1">
      <c r="B78" s="10">
        <v>70.0</v>
      </c>
      <c r="C78" s="18" t="s">
        <v>105</v>
      </c>
      <c r="D78" s="16" t="s">
        <v>89</v>
      </c>
      <c r="E78" s="16" t="s">
        <v>106</v>
      </c>
      <c r="F78" s="20" t="s">
        <v>107</v>
      </c>
      <c r="G78" s="21" t="s">
        <v>70</v>
      </c>
      <c r="H78" s="15">
        <v>8.0</v>
      </c>
    </row>
    <row r="79" ht="15.75" customHeight="1">
      <c r="B79" s="10">
        <v>71.0</v>
      </c>
      <c r="C79" s="18" t="s">
        <v>105</v>
      </c>
      <c r="D79" s="16" t="s">
        <v>89</v>
      </c>
      <c r="E79" s="16" t="s">
        <v>106</v>
      </c>
      <c r="F79" s="20" t="s">
        <v>108</v>
      </c>
      <c r="G79" s="21" t="s">
        <v>70</v>
      </c>
      <c r="H79" s="15">
        <v>8.0</v>
      </c>
    </row>
    <row r="80" ht="15.75" customHeight="1">
      <c r="B80" s="10">
        <v>72.0</v>
      </c>
      <c r="C80" s="18" t="s">
        <v>105</v>
      </c>
      <c r="D80" s="16" t="s">
        <v>89</v>
      </c>
      <c r="E80" s="16" t="s">
        <v>106</v>
      </c>
      <c r="F80" s="20" t="s">
        <v>109</v>
      </c>
      <c r="G80" s="21" t="s">
        <v>70</v>
      </c>
      <c r="H80" s="15">
        <v>8.0</v>
      </c>
    </row>
    <row r="81" ht="15.75" customHeight="1">
      <c r="B81" s="10">
        <v>73.0</v>
      </c>
      <c r="C81" s="18" t="s">
        <v>105</v>
      </c>
      <c r="D81" s="16" t="s">
        <v>89</v>
      </c>
      <c r="E81" s="16" t="s">
        <v>106</v>
      </c>
      <c r="F81" s="16" t="s">
        <v>110</v>
      </c>
      <c r="G81" s="21" t="s">
        <v>70</v>
      </c>
      <c r="H81" s="15">
        <v>8.0</v>
      </c>
    </row>
    <row r="82" ht="15.75" customHeight="1">
      <c r="B82" s="10">
        <v>74.0</v>
      </c>
      <c r="C82" s="18" t="s">
        <v>105</v>
      </c>
      <c r="D82" s="16" t="s">
        <v>89</v>
      </c>
      <c r="E82" s="16" t="s">
        <v>106</v>
      </c>
      <c r="F82" s="20" t="s">
        <v>111</v>
      </c>
      <c r="G82" s="21" t="s">
        <v>112</v>
      </c>
      <c r="H82" s="15">
        <v>9.0</v>
      </c>
    </row>
    <row r="83" ht="15.75" customHeight="1">
      <c r="B83" s="10">
        <v>75.0</v>
      </c>
      <c r="C83" s="18" t="s">
        <v>105</v>
      </c>
      <c r="D83" s="16" t="s">
        <v>89</v>
      </c>
      <c r="E83" s="16" t="s">
        <v>106</v>
      </c>
      <c r="F83" s="20" t="s">
        <v>113</v>
      </c>
      <c r="G83" s="21" t="s">
        <v>112</v>
      </c>
      <c r="H83" s="15">
        <v>9.0</v>
      </c>
    </row>
    <row r="84" ht="15.75" customHeight="1">
      <c r="B84" s="10">
        <v>76.0</v>
      </c>
      <c r="C84" s="18" t="s">
        <v>105</v>
      </c>
      <c r="D84" s="16" t="s">
        <v>89</v>
      </c>
      <c r="E84" s="16" t="s">
        <v>106</v>
      </c>
      <c r="F84" s="20" t="s">
        <v>114</v>
      </c>
      <c r="G84" s="21" t="s">
        <v>112</v>
      </c>
      <c r="H84" s="15">
        <v>9.0</v>
      </c>
    </row>
    <row r="85" ht="15.75" customHeight="1">
      <c r="B85" s="10">
        <v>77.0</v>
      </c>
      <c r="C85" s="18" t="s">
        <v>115</v>
      </c>
      <c r="D85" s="16" t="s">
        <v>116</v>
      </c>
      <c r="E85" s="16" t="s">
        <v>117</v>
      </c>
      <c r="F85" s="20" t="s">
        <v>118</v>
      </c>
      <c r="G85" s="21" t="s">
        <v>112</v>
      </c>
      <c r="H85" s="15">
        <v>9.0</v>
      </c>
    </row>
    <row r="86" ht="15.75" customHeight="1">
      <c r="B86" s="10">
        <v>78.0</v>
      </c>
      <c r="C86" s="18" t="s">
        <v>115</v>
      </c>
      <c r="D86" s="16" t="s">
        <v>116</v>
      </c>
      <c r="E86" s="16" t="s">
        <v>117</v>
      </c>
      <c r="F86" s="20" t="s">
        <v>119</v>
      </c>
      <c r="G86" s="21" t="s">
        <v>112</v>
      </c>
      <c r="H86" s="15">
        <v>9.0</v>
      </c>
    </row>
    <row r="87" ht="15.75" customHeight="1">
      <c r="B87" s="10">
        <v>79.0</v>
      </c>
      <c r="C87" s="18" t="s">
        <v>115</v>
      </c>
      <c r="D87" s="16" t="s">
        <v>116</v>
      </c>
      <c r="E87" s="16" t="s">
        <v>117</v>
      </c>
      <c r="F87" s="20" t="s">
        <v>117</v>
      </c>
      <c r="G87" s="21" t="s">
        <v>112</v>
      </c>
      <c r="H87" s="15">
        <v>9.0</v>
      </c>
    </row>
    <row r="88" ht="15.75" customHeight="1">
      <c r="B88" s="10">
        <v>80.0</v>
      </c>
      <c r="C88" s="18" t="s">
        <v>115</v>
      </c>
      <c r="D88" s="16" t="s">
        <v>116</v>
      </c>
      <c r="E88" s="16" t="s">
        <v>117</v>
      </c>
      <c r="F88" s="20" t="s">
        <v>120</v>
      </c>
      <c r="G88" s="21" t="s">
        <v>112</v>
      </c>
      <c r="H88" s="15">
        <v>9.0</v>
      </c>
    </row>
    <row r="89" ht="15.75" customHeight="1">
      <c r="B89" s="10">
        <v>81.0</v>
      </c>
      <c r="C89" s="18" t="s">
        <v>115</v>
      </c>
      <c r="D89" s="16" t="s">
        <v>116</v>
      </c>
      <c r="E89" s="16" t="s">
        <v>117</v>
      </c>
      <c r="F89" s="20" t="s">
        <v>121</v>
      </c>
      <c r="G89" s="21" t="s">
        <v>112</v>
      </c>
      <c r="H89" s="15">
        <v>9.0</v>
      </c>
    </row>
    <row r="90" ht="15.75" customHeight="1">
      <c r="B90" s="10">
        <v>82.0</v>
      </c>
      <c r="C90" s="18" t="s">
        <v>115</v>
      </c>
      <c r="D90" s="16" t="s">
        <v>116</v>
      </c>
      <c r="E90" s="16" t="s">
        <v>117</v>
      </c>
      <c r="F90" s="20" t="s">
        <v>122</v>
      </c>
      <c r="G90" s="21" t="s">
        <v>112</v>
      </c>
      <c r="H90" s="15">
        <v>9.0</v>
      </c>
    </row>
    <row r="91" ht="15.75" customHeight="1">
      <c r="B91" s="10">
        <v>83.0</v>
      </c>
      <c r="C91" s="18" t="s">
        <v>115</v>
      </c>
      <c r="D91" s="16" t="s">
        <v>116</v>
      </c>
      <c r="E91" s="16" t="s">
        <v>117</v>
      </c>
      <c r="F91" s="20" t="s">
        <v>123</v>
      </c>
      <c r="G91" s="21" t="s">
        <v>112</v>
      </c>
      <c r="H91" s="15">
        <v>9.0</v>
      </c>
    </row>
    <row r="92" ht="15.75" customHeight="1">
      <c r="B92" s="10">
        <v>84.0</v>
      </c>
      <c r="C92" s="18" t="s">
        <v>115</v>
      </c>
      <c r="D92" s="16" t="s">
        <v>116</v>
      </c>
      <c r="E92" s="16" t="s">
        <v>124</v>
      </c>
      <c r="F92" s="20" t="s">
        <v>125</v>
      </c>
      <c r="G92" s="21" t="s">
        <v>112</v>
      </c>
      <c r="H92" s="15">
        <v>10.0</v>
      </c>
    </row>
    <row r="93" ht="15.75" customHeight="1">
      <c r="B93" s="10">
        <v>85.0</v>
      </c>
      <c r="C93" s="18" t="s">
        <v>115</v>
      </c>
      <c r="D93" s="16" t="s">
        <v>116</v>
      </c>
      <c r="E93" s="16" t="s">
        <v>124</v>
      </c>
      <c r="F93" s="20" t="s">
        <v>126</v>
      </c>
      <c r="G93" s="21" t="s">
        <v>112</v>
      </c>
      <c r="H93" s="15">
        <v>10.0</v>
      </c>
    </row>
    <row r="94" ht="15.75" customHeight="1">
      <c r="B94" s="10">
        <v>86.0</v>
      </c>
      <c r="C94" s="18" t="s">
        <v>115</v>
      </c>
      <c r="D94" s="16" t="s">
        <v>116</v>
      </c>
      <c r="E94" s="16" t="s">
        <v>124</v>
      </c>
      <c r="F94" s="20" t="s">
        <v>127</v>
      </c>
      <c r="G94" s="21" t="s">
        <v>112</v>
      </c>
      <c r="H94" s="15">
        <v>10.0</v>
      </c>
    </row>
    <row r="95" ht="15.75" customHeight="1">
      <c r="B95" s="10">
        <v>87.0</v>
      </c>
      <c r="C95" s="18" t="s">
        <v>115</v>
      </c>
      <c r="D95" s="16" t="s">
        <v>116</v>
      </c>
      <c r="E95" s="16" t="s">
        <v>124</v>
      </c>
      <c r="F95" s="20" t="s">
        <v>128</v>
      </c>
      <c r="G95" s="21" t="s">
        <v>112</v>
      </c>
      <c r="H95" s="15">
        <v>10.0</v>
      </c>
    </row>
    <row r="96" ht="15.75" customHeight="1">
      <c r="B96" s="10">
        <v>88.0</v>
      </c>
      <c r="C96" s="18" t="s">
        <v>115</v>
      </c>
      <c r="D96" s="16" t="s">
        <v>116</v>
      </c>
      <c r="E96" s="16" t="s">
        <v>124</v>
      </c>
      <c r="F96" s="20" t="s">
        <v>129</v>
      </c>
      <c r="G96" s="21" t="s">
        <v>112</v>
      </c>
      <c r="H96" s="15">
        <v>10.0</v>
      </c>
    </row>
    <row r="97" ht="15.75" customHeight="1">
      <c r="B97" s="10">
        <v>89.0</v>
      </c>
      <c r="C97" s="18" t="s">
        <v>115</v>
      </c>
      <c r="D97" s="16" t="s">
        <v>116</v>
      </c>
      <c r="E97" s="16" t="s">
        <v>124</v>
      </c>
      <c r="F97" s="20" t="s">
        <v>130</v>
      </c>
      <c r="G97" s="21" t="s">
        <v>112</v>
      </c>
      <c r="H97" s="15">
        <v>10.0</v>
      </c>
    </row>
    <row r="98" ht="15.75" customHeight="1">
      <c r="B98" s="10">
        <v>90.0</v>
      </c>
      <c r="C98" s="18" t="s">
        <v>115</v>
      </c>
      <c r="D98" s="16" t="s">
        <v>116</v>
      </c>
      <c r="E98" s="16" t="s">
        <v>124</v>
      </c>
      <c r="F98" s="20" t="s">
        <v>131</v>
      </c>
      <c r="G98" s="21" t="s">
        <v>112</v>
      </c>
      <c r="H98" s="15">
        <v>10.0</v>
      </c>
    </row>
    <row r="99" ht="15.75" customHeight="1">
      <c r="B99" s="10">
        <v>91.0</v>
      </c>
      <c r="C99" s="18" t="s">
        <v>115</v>
      </c>
      <c r="D99" s="16" t="s">
        <v>132</v>
      </c>
      <c r="E99" s="16" t="s">
        <v>133</v>
      </c>
      <c r="F99" s="20" t="s">
        <v>134</v>
      </c>
      <c r="G99" s="21" t="s">
        <v>135</v>
      </c>
      <c r="H99" s="15">
        <v>10.0</v>
      </c>
    </row>
    <row r="100" ht="15.75" customHeight="1">
      <c r="B100" s="10">
        <v>92.0</v>
      </c>
      <c r="C100" s="18" t="s">
        <v>115</v>
      </c>
      <c r="D100" s="16" t="s">
        <v>132</v>
      </c>
      <c r="E100" s="16" t="s">
        <v>133</v>
      </c>
      <c r="F100" s="20" t="s">
        <v>136</v>
      </c>
      <c r="G100" s="21" t="s">
        <v>135</v>
      </c>
      <c r="H100" s="15">
        <v>11.0</v>
      </c>
    </row>
    <row r="101" ht="15.75" customHeight="1">
      <c r="B101" s="10">
        <v>93.0</v>
      </c>
      <c r="C101" s="18" t="s">
        <v>115</v>
      </c>
      <c r="D101" s="16" t="s">
        <v>132</v>
      </c>
      <c r="E101" s="16" t="s">
        <v>133</v>
      </c>
      <c r="F101" s="20" t="s">
        <v>137</v>
      </c>
      <c r="G101" s="21" t="s">
        <v>135</v>
      </c>
      <c r="H101" s="15">
        <v>11.0</v>
      </c>
    </row>
    <row r="102" ht="15.75" customHeight="1">
      <c r="B102" s="10">
        <v>94.0</v>
      </c>
      <c r="C102" s="18" t="s">
        <v>115</v>
      </c>
      <c r="D102" s="16" t="s">
        <v>132</v>
      </c>
      <c r="E102" s="16" t="s">
        <v>133</v>
      </c>
      <c r="F102" s="20" t="s">
        <v>138</v>
      </c>
      <c r="G102" s="21" t="s">
        <v>135</v>
      </c>
      <c r="H102" s="15">
        <v>11.0</v>
      </c>
    </row>
    <row r="103" ht="15.75" customHeight="1">
      <c r="B103" s="10">
        <v>95.0</v>
      </c>
      <c r="C103" s="18" t="s">
        <v>115</v>
      </c>
      <c r="D103" s="16" t="s">
        <v>132</v>
      </c>
      <c r="E103" s="16" t="s">
        <v>133</v>
      </c>
      <c r="F103" s="20" t="s">
        <v>139</v>
      </c>
      <c r="G103" s="21" t="s">
        <v>135</v>
      </c>
      <c r="H103" s="22">
        <v>11.0</v>
      </c>
    </row>
    <row r="104" ht="15.75" customHeight="1">
      <c r="B104" s="10">
        <v>96.0</v>
      </c>
      <c r="C104" s="18" t="s">
        <v>115</v>
      </c>
      <c r="D104" s="16" t="s">
        <v>132</v>
      </c>
      <c r="E104" s="16" t="s">
        <v>133</v>
      </c>
      <c r="F104" s="20" t="s">
        <v>140</v>
      </c>
      <c r="G104" s="21" t="s">
        <v>135</v>
      </c>
      <c r="H104" s="22">
        <v>11.0</v>
      </c>
    </row>
    <row r="105" ht="15.75" customHeight="1">
      <c r="B105" s="10">
        <v>97.0</v>
      </c>
      <c r="C105" s="18" t="s">
        <v>115</v>
      </c>
      <c r="D105" s="16" t="s">
        <v>132</v>
      </c>
      <c r="E105" s="16" t="s">
        <v>133</v>
      </c>
      <c r="F105" s="20" t="s">
        <v>141</v>
      </c>
      <c r="G105" s="21" t="s">
        <v>135</v>
      </c>
      <c r="H105" s="22">
        <v>11.0</v>
      </c>
    </row>
    <row r="106" ht="15.75" customHeight="1">
      <c r="C106" s="23"/>
    </row>
    <row r="107" ht="15.75" customHeight="1">
      <c r="C107" s="23"/>
    </row>
    <row r="108" ht="15.75" customHeight="1">
      <c r="C108" s="23"/>
    </row>
    <row r="109" ht="15.75" customHeight="1">
      <c r="C109" s="23"/>
    </row>
    <row r="110" ht="15.75" customHeight="1">
      <c r="C110" s="23"/>
    </row>
    <row r="111" ht="15.75" customHeight="1">
      <c r="C111" s="23"/>
    </row>
    <row r="112" ht="15.75" customHeight="1">
      <c r="C112" s="23"/>
    </row>
    <row r="113" ht="15.75" customHeight="1">
      <c r="C113" s="23"/>
    </row>
    <row r="114" ht="15.75" customHeight="1">
      <c r="C114" s="23"/>
    </row>
    <row r="115" ht="15.75" customHeight="1">
      <c r="C115" s="23"/>
    </row>
    <row r="116" ht="15.75" customHeight="1">
      <c r="C116" s="23"/>
    </row>
    <row r="117" ht="15.75" customHeight="1">
      <c r="C117" s="23"/>
    </row>
    <row r="118" ht="15.75" customHeight="1">
      <c r="C118" s="23"/>
    </row>
    <row r="119" ht="15.75" customHeight="1">
      <c r="C119" s="23"/>
    </row>
    <row r="120" ht="15.75" customHeight="1">
      <c r="C120" s="23"/>
    </row>
    <row r="121" ht="15.75" customHeight="1">
      <c r="C121" s="23"/>
    </row>
    <row r="122" ht="15.75" customHeight="1">
      <c r="C122" s="23"/>
    </row>
    <row r="123" ht="15.75" customHeight="1">
      <c r="C123" s="23"/>
    </row>
    <row r="124" ht="15.75" customHeight="1">
      <c r="C124" s="23"/>
    </row>
    <row r="125" ht="15.75" customHeight="1">
      <c r="C125" s="23"/>
    </row>
    <row r="126" ht="15.75" customHeight="1">
      <c r="C126" s="23"/>
    </row>
    <row r="127" ht="15.75" customHeight="1">
      <c r="C127" s="23"/>
    </row>
    <row r="128" ht="15.75" customHeight="1">
      <c r="C128" s="23"/>
    </row>
    <row r="129" ht="15.75" customHeight="1">
      <c r="C129" s="23"/>
    </row>
    <row r="130" ht="15.75" customHeight="1">
      <c r="C130" s="23"/>
    </row>
    <row r="131" ht="15.75" customHeight="1">
      <c r="C131" s="23"/>
    </row>
    <row r="132" ht="15.75" customHeight="1">
      <c r="C132" s="23"/>
    </row>
    <row r="133" ht="15.75" customHeight="1">
      <c r="C133" s="23"/>
    </row>
    <row r="134" ht="15.75" customHeight="1">
      <c r="C134" s="23"/>
    </row>
    <row r="135" ht="15.75" customHeight="1">
      <c r="C135" s="23"/>
    </row>
    <row r="136" ht="15.75" customHeight="1">
      <c r="C136" s="23"/>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5">
      <formula1>METADATA!$I$17:$I$37</formula1>
    </dataValidation>
    <dataValidation type="list" allowBlank="1" showErrorMessage="1" sqref="H9:H105">
      <formula1>"1,2,3,4,5,6,7,8,9,10,11,12"</formula1>
    </dataValidation>
    <dataValidation type="list" allowBlank="1" showErrorMessage="1" sqref="C4">
      <formula1>METADATA!$A$2:$A$80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72.88"/>
  </cols>
  <sheetData>
    <row r="1" ht="15.75" customHeight="1"/>
    <row r="2" ht="15.75" customHeight="1">
      <c r="B2" s="2" t="s">
        <v>0</v>
      </c>
    </row>
    <row r="3" ht="15.75" customHeight="1"/>
    <row r="4" ht="15.75" customHeight="1">
      <c r="B4" s="24" t="s">
        <v>1</v>
      </c>
      <c r="C4" s="25" t="str">
        <f>'Diseño'!C4</f>
        <v>787 - Sistemas Organizacionales y Gerenciales 2</v>
      </c>
      <c r="D4" s="26"/>
      <c r="E4" s="26"/>
      <c r="F4" s="26"/>
      <c r="G4" s="27"/>
    </row>
    <row r="5" ht="15.75" customHeight="1">
      <c r="B5" s="28" t="s">
        <v>11</v>
      </c>
      <c r="C5" s="25">
        <v>1.0</v>
      </c>
      <c r="D5" s="26"/>
      <c r="E5" s="26"/>
      <c r="F5" s="26"/>
      <c r="G5" s="27"/>
    </row>
    <row r="6" ht="15.75" customHeight="1">
      <c r="B6" s="28" t="s">
        <v>142</v>
      </c>
      <c r="C6" s="25">
        <f>B15+B22+B29+B41+B47+C48</f>
        <v>90</v>
      </c>
      <c r="D6" s="26"/>
      <c r="E6" s="26"/>
      <c r="F6" s="26"/>
      <c r="G6" s="27"/>
    </row>
    <row r="7" ht="15.75" customHeight="1"/>
    <row r="8" ht="15.75" customHeight="1"/>
    <row r="9" ht="15.75" customHeight="1">
      <c r="A9" s="29" t="s">
        <v>143</v>
      </c>
      <c r="G9" s="30" t="s">
        <v>144</v>
      </c>
      <c r="H9" s="31">
        <f>B15</f>
        <v>15</v>
      </c>
    </row>
    <row r="10" ht="15.75" customHeight="1">
      <c r="G10" s="32" t="s">
        <v>145</v>
      </c>
    </row>
    <row r="11" ht="15.75" customHeight="1">
      <c r="A11" s="33" t="s">
        <v>146</v>
      </c>
      <c r="B11" s="34" t="s">
        <v>147</v>
      </c>
      <c r="C11" s="26"/>
      <c r="D11" s="26"/>
      <c r="E11" s="26"/>
      <c r="F11" s="26"/>
      <c r="G11" s="26"/>
      <c r="H11" s="27"/>
    </row>
    <row r="12" ht="15.75" customHeight="1">
      <c r="A12" s="33" t="s">
        <v>148</v>
      </c>
      <c r="B12" s="34" t="s">
        <v>149</v>
      </c>
      <c r="C12" s="26"/>
      <c r="D12" s="26"/>
      <c r="E12" s="26"/>
      <c r="F12" s="26"/>
      <c r="G12" s="26"/>
      <c r="H12" s="27"/>
      <c r="K12" s="35" t="s">
        <v>150</v>
      </c>
    </row>
    <row r="13" ht="15.75" customHeight="1">
      <c r="A13" s="36" t="s">
        <v>151</v>
      </c>
      <c r="B13" s="37" t="s">
        <v>152</v>
      </c>
      <c r="C13" s="26"/>
      <c r="D13" s="26"/>
      <c r="E13" s="26"/>
      <c r="F13" s="26"/>
      <c r="G13" s="26"/>
      <c r="H13" s="27"/>
    </row>
    <row r="14" ht="15.75" customHeight="1">
      <c r="A14" s="36" t="s">
        <v>153</v>
      </c>
      <c r="B14" s="37" t="s">
        <v>154</v>
      </c>
      <c r="C14" s="26"/>
      <c r="D14" s="26"/>
      <c r="E14" s="26"/>
      <c r="F14" s="26"/>
      <c r="G14" s="26"/>
      <c r="H14" s="27"/>
    </row>
    <row r="15" ht="15.75" customHeight="1">
      <c r="A15" s="38" t="s">
        <v>155</v>
      </c>
      <c r="B15" s="37">
        <v>15.0</v>
      </c>
      <c r="C15" s="26"/>
      <c r="D15" s="26"/>
      <c r="E15" s="26"/>
      <c r="F15" s="26"/>
      <c r="G15" s="26"/>
      <c r="H15" s="27"/>
    </row>
    <row r="16" ht="15.75" customHeight="1"/>
    <row r="17" ht="15.75" customHeight="1"/>
    <row r="18" ht="15.75" customHeight="1">
      <c r="A18" s="39" t="s">
        <v>156</v>
      </c>
      <c r="G18" s="30" t="s">
        <v>144</v>
      </c>
      <c r="H18" s="31">
        <f>B22</f>
        <v>20</v>
      </c>
    </row>
    <row r="19" ht="15.75" customHeight="1">
      <c r="G19" s="32" t="s">
        <v>157</v>
      </c>
    </row>
    <row r="20" ht="135.0" customHeight="1">
      <c r="A20" s="33" t="s">
        <v>158</v>
      </c>
      <c r="B20" s="34" t="s">
        <v>159</v>
      </c>
      <c r="C20" s="26"/>
      <c r="D20" s="26"/>
      <c r="E20" s="26"/>
      <c r="F20" s="26"/>
      <c r="G20" s="26"/>
      <c r="H20" s="27"/>
      <c r="K20" s="35" t="s">
        <v>160</v>
      </c>
    </row>
    <row r="21" ht="34.5" customHeight="1">
      <c r="A21" s="33" t="s">
        <v>161</v>
      </c>
      <c r="B21" s="34" t="s">
        <v>162</v>
      </c>
      <c r="C21" s="26"/>
      <c r="D21" s="26"/>
      <c r="E21" s="26"/>
      <c r="F21" s="26"/>
      <c r="G21" s="26"/>
      <c r="H21" s="27"/>
    </row>
    <row r="22" ht="15.75" customHeight="1">
      <c r="A22" s="38" t="s">
        <v>155</v>
      </c>
      <c r="B22" s="37">
        <v>20.0</v>
      </c>
      <c r="C22" s="26"/>
      <c r="D22" s="26"/>
      <c r="E22" s="26"/>
      <c r="F22" s="26"/>
      <c r="G22" s="26"/>
      <c r="H22" s="27"/>
    </row>
    <row r="23" ht="15.75" customHeight="1"/>
    <row r="24" ht="15.75" customHeight="1"/>
    <row r="25" ht="15.75" customHeight="1">
      <c r="A25" s="39" t="s">
        <v>163</v>
      </c>
      <c r="G25" s="40" t="s">
        <v>144</v>
      </c>
      <c r="H25" s="31">
        <f>B29</f>
        <v>20</v>
      </c>
    </row>
    <row r="26" ht="15.75" customHeight="1">
      <c r="G26" s="32" t="s">
        <v>164</v>
      </c>
      <c r="H26" s="32"/>
      <c r="I26" s="32"/>
      <c r="J26" s="32"/>
    </row>
    <row r="27" ht="39.75" customHeight="1">
      <c r="A27" s="33" t="s">
        <v>165</v>
      </c>
      <c r="B27" s="34" t="s">
        <v>166</v>
      </c>
      <c r="C27" s="26"/>
      <c r="D27" s="26"/>
      <c r="E27" s="26"/>
      <c r="F27" s="26"/>
      <c r="G27" s="26"/>
      <c r="H27" s="27"/>
      <c r="K27" s="41" t="s">
        <v>167</v>
      </c>
    </row>
    <row r="28" ht="69.75" customHeight="1">
      <c r="A28" s="33" t="s">
        <v>168</v>
      </c>
      <c r="B28" s="34" t="s">
        <v>169</v>
      </c>
      <c r="C28" s="26"/>
      <c r="D28" s="26"/>
      <c r="E28" s="26"/>
      <c r="F28" s="26"/>
      <c r="G28" s="26"/>
      <c r="H28" s="27"/>
    </row>
    <row r="29" ht="15.75" customHeight="1">
      <c r="A29" s="38" t="s">
        <v>155</v>
      </c>
      <c r="B29" s="37">
        <v>20.0</v>
      </c>
      <c r="C29" s="26"/>
      <c r="D29" s="26"/>
      <c r="E29" s="26"/>
      <c r="F29" s="26"/>
      <c r="G29" s="26"/>
      <c r="H29" s="27"/>
    </row>
    <row r="30" ht="15.75" customHeight="1"/>
    <row r="31" ht="15.75" customHeight="1"/>
    <row r="32" ht="15.75" customHeight="1">
      <c r="A32" s="39" t="s">
        <v>170</v>
      </c>
      <c r="G32" s="40" t="s">
        <v>144</v>
      </c>
      <c r="H32" s="31">
        <f>B36</f>
        <v>20</v>
      </c>
    </row>
    <row r="33" ht="15.75" customHeight="1">
      <c r="A33" s="6" t="s">
        <v>171</v>
      </c>
      <c r="G33" s="6" t="s">
        <v>172</v>
      </c>
      <c r="H33" s="42"/>
      <c r="I33" s="42"/>
    </row>
    <row r="34" ht="15.75" customHeight="1">
      <c r="A34" s="33" t="s">
        <v>173</v>
      </c>
      <c r="B34" s="34" t="s">
        <v>174</v>
      </c>
      <c r="C34" s="26"/>
      <c r="D34" s="26"/>
      <c r="E34" s="26"/>
      <c r="F34" s="26"/>
      <c r="G34" s="26"/>
      <c r="H34" s="27"/>
      <c r="K34" s="43" t="s">
        <v>175</v>
      </c>
    </row>
    <row r="35" ht="15.75" customHeight="1">
      <c r="A35" s="33" t="s">
        <v>176</v>
      </c>
      <c r="B35" s="34" t="s">
        <v>177</v>
      </c>
      <c r="C35" s="26"/>
      <c r="D35" s="26"/>
      <c r="E35" s="26"/>
      <c r="F35" s="26"/>
      <c r="G35" s="26"/>
      <c r="H35" s="27"/>
    </row>
    <row r="36" ht="15.75" customHeight="1">
      <c r="A36" s="38" t="s">
        <v>155</v>
      </c>
      <c r="B36" s="37">
        <v>20.0</v>
      </c>
      <c r="C36" s="26"/>
      <c r="D36" s="26"/>
      <c r="E36" s="26"/>
      <c r="F36" s="26"/>
      <c r="G36" s="26"/>
      <c r="H36" s="27"/>
    </row>
    <row r="37" ht="15.75" customHeight="1"/>
    <row r="38" ht="15.75" customHeight="1"/>
    <row r="39" ht="15.75" customHeight="1">
      <c r="A39" s="39" t="s">
        <v>178</v>
      </c>
      <c r="G39" s="40" t="s">
        <v>144</v>
      </c>
      <c r="H39" s="31">
        <f>B41</f>
        <v>20</v>
      </c>
    </row>
    <row r="40" ht="15.75" customHeight="1">
      <c r="G40" s="32" t="s">
        <v>179</v>
      </c>
    </row>
    <row r="41" ht="15.75" customHeight="1">
      <c r="A41" s="38" t="s">
        <v>155</v>
      </c>
      <c r="B41" s="37">
        <v>20.0</v>
      </c>
      <c r="C41" s="26"/>
      <c r="D41" s="26"/>
      <c r="E41" s="26"/>
      <c r="F41" s="26"/>
      <c r="G41" s="26"/>
      <c r="H41" s="27"/>
    </row>
    <row r="42" ht="15.75" customHeight="1"/>
    <row r="43" ht="15.75" customHeight="1"/>
    <row r="44" ht="15.75" customHeight="1">
      <c r="A44" s="39" t="s">
        <v>180</v>
      </c>
      <c r="G44" s="40" t="s">
        <v>144</v>
      </c>
      <c r="H44" s="31">
        <f>B47</f>
        <v>15</v>
      </c>
    </row>
    <row r="45" ht="15.75" customHeight="1">
      <c r="G45" s="32" t="s">
        <v>145</v>
      </c>
    </row>
    <row r="46" ht="15.75" customHeight="1">
      <c r="A46" s="33" t="s">
        <v>181</v>
      </c>
      <c r="B46" s="34" t="s">
        <v>182</v>
      </c>
      <c r="C46" s="26"/>
      <c r="D46" s="26"/>
      <c r="E46" s="26"/>
      <c r="F46" s="26"/>
      <c r="G46" s="26"/>
      <c r="H46" s="27"/>
    </row>
    <row r="47" ht="15.75" customHeight="1">
      <c r="A47" s="38" t="s">
        <v>155</v>
      </c>
      <c r="B47" s="37">
        <v>15.0</v>
      </c>
      <c r="C47" s="26"/>
      <c r="D47" s="26"/>
      <c r="E47" s="26"/>
      <c r="F47" s="26"/>
      <c r="G47" s="26"/>
      <c r="H47" s="27"/>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B20:H20"/>
    <mergeCell ref="K20:M21"/>
    <mergeCell ref="B21:H21"/>
    <mergeCell ref="B22:H22"/>
    <mergeCell ref="A25:F25"/>
    <mergeCell ref="B27:H27"/>
    <mergeCell ref="K27:M29"/>
    <mergeCell ref="B36:H36"/>
    <mergeCell ref="A39:F39"/>
    <mergeCell ref="G40:I40"/>
    <mergeCell ref="B41:H41"/>
    <mergeCell ref="A44:F44"/>
    <mergeCell ref="G45:I45"/>
    <mergeCell ref="B46:H46"/>
    <mergeCell ref="B47:H47"/>
    <mergeCell ref="B28:H28"/>
    <mergeCell ref="B29:H29"/>
    <mergeCell ref="A32:F32"/>
    <mergeCell ref="A33:F33"/>
    <mergeCell ref="B34:H34"/>
    <mergeCell ref="K34:M36"/>
    <mergeCell ref="B35:H35"/>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2.0</v>
      </c>
      <c r="D5" s="26"/>
      <c r="E5" s="26"/>
      <c r="F5" s="26"/>
      <c r="G5" s="27"/>
    </row>
    <row r="6" ht="15.75" customHeight="1">
      <c r="B6" s="45" t="s">
        <v>142</v>
      </c>
      <c r="C6" s="25">
        <f>H10+H21+H47+H71</f>
        <v>100</v>
      </c>
      <c r="D6" s="26"/>
      <c r="E6" s="26"/>
      <c r="F6" s="26"/>
      <c r="G6" s="27"/>
      <c r="I6" s="5"/>
    </row>
    <row r="7" ht="15.75" customHeight="1">
      <c r="B7" s="45" t="s">
        <v>184</v>
      </c>
      <c r="C7" s="25">
        <f>B52+B63</f>
        <v>0</v>
      </c>
      <c r="D7" s="26"/>
      <c r="E7" s="26"/>
      <c r="F7" s="26"/>
      <c r="G7" s="27"/>
    </row>
    <row r="8" ht="15.75" customHeight="1">
      <c r="B8" s="45" t="s">
        <v>185</v>
      </c>
      <c r="C8" s="25" t="str">
        <f>IF(H47&lt;=0, "❌ ERROR: La Actividad 1 debe tener un tiempo mayor a 0.", IF(H21&gt;60, "❌ ERROR: El 'Área de Conocimiento' no puede exceder los 60 min.", IF((H71+H21+H10+H47)&lt;100, "❌ ERROR: El tiempo total debe ser de al menos 100 min.", "✅ VALIDACIÓN CORRECTA")))</f>
        <v>✅ VALIDACIÓN CORRECTA</v>
      </c>
      <c r="D8" s="26"/>
      <c r="E8" s="26"/>
      <c r="F8" s="26"/>
      <c r="G8" s="27"/>
      <c r="I8" s="5"/>
      <c r="J8" s="5"/>
      <c r="K8" s="5"/>
    </row>
    <row r="9" ht="15.75" customHeight="1"/>
    <row r="10" ht="15.75" customHeight="1">
      <c r="A10" s="46" t="s">
        <v>186</v>
      </c>
      <c r="G10" s="40" t="s">
        <v>144</v>
      </c>
      <c r="H10" s="47">
        <v>5.0</v>
      </c>
    </row>
    <row r="11" ht="15.75" customHeight="1">
      <c r="G11" s="32" t="s">
        <v>187</v>
      </c>
    </row>
    <row r="12" ht="15.75" customHeight="1">
      <c r="A12" s="36" t="s">
        <v>188</v>
      </c>
      <c r="B12" s="37" t="s">
        <v>189</v>
      </c>
      <c r="C12" s="26"/>
      <c r="D12" s="26"/>
      <c r="E12" s="26"/>
      <c r="F12" s="26"/>
      <c r="G12" s="26"/>
      <c r="H12" s="27"/>
    </row>
    <row r="13" ht="15.75" customHeight="1">
      <c r="A13" s="38" t="s">
        <v>144</v>
      </c>
      <c r="B13" s="37"/>
      <c r="C13" s="26"/>
      <c r="D13" s="26"/>
      <c r="E13" s="26"/>
      <c r="F13" s="26"/>
      <c r="G13" s="26"/>
      <c r="H13" s="27"/>
    </row>
    <row r="14" ht="15.75" customHeight="1">
      <c r="A14" s="48" t="s">
        <v>190</v>
      </c>
      <c r="B14" s="26"/>
      <c r="C14" s="26"/>
      <c r="D14" s="26"/>
      <c r="E14" s="26"/>
      <c r="F14" s="26"/>
      <c r="G14" s="26"/>
      <c r="H14" s="27"/>
    </row>
    <row r="15" ht="15.75" customHeight="1">
      <c r="A15" s="49" t="s">
        <v>191</v>
      </c>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49" t="s">
        <v>193</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55">
        <f>D42+D43+D44+D45</f>
        <v>60</v>
      </c>
      <c r="I21" s="5"/>
    </row>
    <row r="22" ht="15.75" customHeight="1">
      <c r="G22" s="32" t="s">
        <v>195</v>
      </c>
    </row>
    <row r="23" ht="15.75" customHeight="1">
      <c r="A23" s="36" t="s">
        <v>196</v>
      </c>
      <c r="B23" s="37" t="s">
        <v>12</v>
      </c>
      <c r="C23" s="26"/>
      <c r="D23" s="26"/>
      <c r="E23" s="26"/>
      <c r="F23" s="26"/>
      <c r="G23" s="26"/>
      <c r="H23" s="27"/>
    </row>
    <row r="24" ht="15.75" customHeight="1">
      <c r="A24" s="36" t="s">
        <v>196</v>
      </c>
      <c r="B24" s="37" t="s">
        <v>49</v>
      </c>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1 Exploración del mundo de los ERP (Enterprise Resource Planning)")</f>
        <v>Unidad 1 Exploración del mundo de los ERP (Enterprise Resource Planning)</v>
      </c>
      <c r="C28" s="27"/>
      <c r="D28" s="25" t="str">
        <f>IFERROR(__xludf.DUMMYFUNCTION("FILTER('Diseño'!E:E,'Diseño'!H:H=$C$5)"),"Exploración del mundo del los ERP: Planeación, Control y Dirección")</f>
        <v>Exploración del mundo del los ERP: Planeación, Control y Dirección</v>
      </c>
      <c r="E28" s="27"/>
      <c r="F28" s="25" t="str">
        <f>IFERROR(__xludf.DUMMYFUNCTION("FILTER('Diseño'!F:F,'Diseño'!H:H=$C$5)"),"Base de datos centralizada.")</f>
        <v>Base de datos centralizada.</v>
      </c>
      <c r="G28" s="26"/>
      <c r="H28" s="27"/>
    </row>
    <row r="29" ht="15.75" customHeight="1">
      <c r="A29" s="28">
        <v>2.0</v>
      </c>
      <c r="B29" s="25" t="str">
        <f>IFERROR(__xludf.DUMMYFUNCTION("""COMPUTED_VALUE"""),"Unidad 1 Exploración del mundo de los ERP (Enterprise Resource Planning)")</f>
        <v>Unidad 1 Exploración del mundo de los ERP (Enterprise Resource Planning)</v>
      </c>
      <c r="C29" s="27"/>
      <c r="D29" s="25" t="str">
        <f>IFERROR(__xludf.DUMMYFUNCTION("""COMPUTED_VALUE"""),"Exploración del mundo del los ERP: Planeación, Control y Dirección")</f>
        <v>Exploración del mundo del los ERP: Planeación, Control y Dirección</v>
      </c>
      <c r="E29" s="27"/>
      <c r="F29" s="25" t="str">
        <f>IFERROR(__xludf.DUMMYFUNCTION("""COMPUTED_VALUE"""),"Interfaz de usuario.")</f>
        <v>Interfaz de usuario.</v>
      </c>
      <c r="G29" s="26"/>
      <c r="H29" s="27"/>
    </row>
    <row r="30" ht="15.75" customHeight="1">
      <c r="A30" s="28">
        <v>3.0</v>
      </c>
      <c r="B30" s="25" t="str">
        <f>IFERROR(__xludf.DUMMYFUNCTION("""COMPUTED_VALUE"""),"Unidad 1 Exploración del mundo de los ERP (Enterprise Resource Planning)")</f>
        <v>Unidad 1 Exploración del mundo de los ERP (Enterprise Resource Planning)</v>
      </c>
      <c r="C30" s="27"/>
      <c r="D30" s="25" t="str">
        <f>IFERROR(__xludf.DUMMYFUNCTION("""COMPUTED_VALUE"""),"Exploración del mundo de los ERP: Función, beneficios de integración y tendencias")</f>
        <v>Exploración del mundo de los ERP: Función, beneficios de integración y tendencias</v>
      </c>
      <c r="E30" s="27"/>
      <c r="F30" s="25" t="str">
        <f>IFERROR(__xludf.DUMMYFUNCTION("""COMPUTED_VALUE"""),"Integración y ejemplos con aplicaciones")</f>
        <v>Integración y ejemplos con aplicaciones</v>
      </c>
      <c r="G30" s="26"/>
      <c r="H30" s="27"/>
    </row>
    <row r="31" ht="15.75" customHeight="1">
      <c r="A31" s="28">
        <v>4.0</v>
      </c>
      <c r="B31" s="25" t="str">
        <f>IFERROR(__xludf.DUMMYFUNCTION("""COMPUTED_VALUE"""),"Unidad 1 Exploración del mundo de los ERP (Enterprise Resource Planning)")</f>
        <v>Unidad 1 Exploración del mundo de los ERP (Enterprise Resource Planning)</v>
      </c>
      <c r="C31" s="27"/>
      <c r="D31" s="25" t="str">
        <f>IFERROR(__xludf.DUMMYFUNCTION("""COMPUTED_VALUE"""),"Exploración del mundo de los ERP: Función, beneficios de integración y tendencias")</f>
        <v>Exploración del mundo de los ERP: Función, beneficios de integración y tendencias</v>
      </c>
      <c r="E31" s="27"/>
      <c r="F31" s="25" t="str">
        <f>IFERROR(__xludf.DUMMYFUNCTION("""COMPUTED_VALUE"""),"Funciones de un ERP.")</f>
        <v>Funciones de un ERP.</v>
      </c>
      <c r="G31" s="26"/>
      <c r="H31" s="27"/>
    </row>
    <row r="32" ht="15.75" customHeight="1">
      <c r="A32" s="28">
        <v>5.0</v>
      </c>
      <c r="B32" s="25" t="str">
        <f>IFERROR(__xludf.DUMMYFUNCTION("""COMPUTED_VALUE"""),"Unidad 1 Exploración del mundo de los ERP (Enterprise Resource Planning)")</f>
        <v>Unidad 1 Exploración del mundo de los ERP (Enterprise Resource Planning)</v>
      </c>
      <c r="C32" s="27"/>
      <c r="D32" s="25" t="str">
        <f>IFERROR(__xludf.DUMMYFUNCTION("""COMPUTED_VALUE"""),"Exploración del mundo de los ERP: Función, beneficios de integración y tendencias")</f>
        <v>Exploración del mundo de los ERP: Función, beneficios de integración y tendencias</v>
      </c>
      <c r="E32" s="27"/>
      <c r="F32" s="25" t="str">
        <f>IFERROR(__xludf.DUMMYFUNCTION("""COMPUTED_VALUE"""),"Arquitectura de un ERP.")</f>
        <v>Arquitectura de un ERP.</v>
      </c>
      <c r="G32" s="26"/>
      <c r="H32" s="27"/>
    </row>
    <row r="33" ht="15.75" customHeight="1">
      <c r="A33" s="28">
        <v>6.0</v>
      </c>
      <c r="B33" s="25" t="str">
        <f>IFERROR(__xludf.DUMMYFUNCTION("""COMPUTED_VALUE"""),"Unidad 1 Exploración del mundo de los ERP (Enterprise Resource Planning)")</f>
        <v>Unidad 1 Exploración del mundo de los ERP (Enterprise Resource Planning)</v>
      </c>
      <c r="C33" s="27"/>
      <c r="D33" s="25" t="str">
        <f>IFERROR(__xludf.DUMMYFUNCTION("""COMPUTED_VALUE"""),"Exploración del mundo de los ERP: Función, beneficios de integración y tendencias")</f>
        <v>Exploración del mundo de los ERP: Función, beneficios de integración y tendencias</v>
      </c>
      <c r="E33" s="27"/>
      <c r="F33" s="25" t="str">
        <f>IFERROR(__xludf.DUMMYFUNCTION("""COMPUTED_VALUE"""),"Módulos y sus enfoques.")</f>
        <v>Módulos y sus enfoques.</v>
      </c>
      <c r="G33" s="26"/>
      <c r="H33" s="27"/>
    </row>
    <row r="34" ht="15.75" customHeight="1">
      <c r="A34" s="28">
        <v>7.0</v>
      </c>
      <c r="B34" s="25" t="str">
        <f>IFERROR(__xludf.DUMMYFUNCTION("""COMPUTED_VALUE"""),"Unidad 1 Exploración del mundo de los ERP (Enterprise Resource Planning)")</f>
        <v>Unidad 1 Exploración del mundo de los ERP (Enterprise Resource Planning)</v>
      </c>
      <c r="C34" s="27"/>
      <c r="D34" s="25" t="str">
        <f>IFERROR(__xludf.DUMMYFUNCTION("""COMPUTED_VALUE"""),"Exploración del mundo de los ERP: Función, beneficios de integración y tendencias")</f>
        <v>Exploración del mundo de los ERP: Función, beneficios de integración y tendencias</v>
      </c>
      <c r="E34" s="27"/>
      <c r="F34" s="25" t="str">
        <f>IFERROR(__xludf.DUMMYFUNCTION("""COMPUTED_VALUE"""),"Integración entre módulos.")</f>
        <v>Integración entre módulos.</v>
      </c>
      <c r="G34" s="26"/>
      <c r="H34" s="27"/>
    </row>
    <row r="35" ht="15.75" customHeight="1">
      <c r="A35" s="5"/>
      <c r="B35" s="5" t="str">
        <f>IFERROR(__xludf.DUMMYFUNCTION("""COMPUTED_VALUE"""),"Unidad 1 Exploración del mundo de los ERP (Enterprise Resource Planning)")</f>
        <v>Unidad 1 Exploración del mundo de los ERP (Enterprise Resource Planning)</v>
      </c>
      <c r="C35" s="5"/>
      <c r="D35" s="5" t="str">
        <f>IFERROR(__xludf.DUMMYFUNCTION("""COMPUTED_VALUE"""),"Exploración del mundo de los ERP: Función, beneficios de integración y tendencias")</f>
        <v>Exploración del mundo de los ERP: Función, beneficios de integración y tendencias</v>
      </c>
      <c r="E35" s="5"/>
      <c r="F35" s="5" t="str">
        <f>IFERROR(__xludf.DUMMYFUNCTION("""COMPUTED_VALUE"""),"Ejemplos de ERP's  especializados para cierto sector empresarial.")</f>
        <v>Ejemplos de ERP's  especializados para cierto sector empresarial.</v>
      </c>
      <c r="G35" s="5"/>
      <c r="H35" s="5"/>
    </row>
    <row r="36" ht="15.75" customHeight="1">
      <c r="A36" s="5"/>
      <c r="B36" s="5" t="str">
        <f>IFERROR(__xludf.DUMMYFUNCTION("""COMPUTED_VALUE"""),"Unidad 1 Exploración del mundo de los ERP (Enterprise Resource Planning)")</f>
        <v>Unidad 1 Exploración del mundo de los ERP (Enterprise Resource Planning)</v>
      </c>
      <c r="C36" s="5"/>
      <c r="D36" s="5" t="str">
        <f>IFERROR(__xludf.DUMMYFUNCTION("""COMPUTED_VALUE"""),"Exploración del mundo de los ERP: Función, beneficios de integración y tendencias")</f>
        <v>Exploración del mundo de los ERP: Función, beneficios de integración y tendencias</v>
      </c>
      <c r="E36" s="5"/>
      <c r="F36" s="5" t="str">
        <f>IFERROR(__xludf.DUMMYFUNCTION("""COMPUTED_VALUE"""),"Ejemplos de éxito.")</f>
        <v>Ejemplos de éxito.</v>
      </c>
      <c r="G36" s="5"/>
      <c r="H36" s="5"/>
    </row>
    <row r="37" ht="15.75" customHeight="1">
      <c r="A37" s="5"/>
      <c r="B37" s="5" t="str">
        <f>IFERROR(__xludf.DUMMYFUNCTION("""COMPUTED_VALUE"""),"Unidad 2 Recursos y toma de decisiones basadas en tecnologías.")</f>
        <v>Unidad 2 Recursos y toma de decisiones basadas en tecnologías.</v>
      </c>
      <c r="C37" s="5"/>
      <c r="D37" s="5" t="str">
        <f>IFERROR(__xludf.DUMMYFUNCTION("""COMPUTED_VALUE"""),"Recursos y Toma de decisiones basadas en tecnologías: Introducción a conceptos básicos")</f>
        <v>Recursos y Toma de decisiones basadas en tecnologías: Introducción a conceptos básicos</v>
      </c>
      <c r="E37" s="5"/>
      <c r="F37" s="5" t="str">
        <f>IFERROR(__xludf.DUMMYFUNCTION("""COMPUTED_VALUE"""),"Definición y objetivos clave del CRM.")</f>
        <v>Definición y objetivos clave del CRM.</v>
      </c>
      <c r="G37" s="5"/>
      <c r="H37" s="5"/>
    </row>
    <row r="38" ht="15.75" customHeight="1">
      <c r="B38" s="59" t="str">
        <f>IFERROR(__xludf.DUMMYFUNCTION("""COMPUTED_VALUE"""),"Unidad 2 Recursos y toma de decisiones basadas en tecnologías.")</f>
        <v>Unidad 2 Recursos y toma de decisiones basadas en tecnologías.</v>
      </c>
      <c r="D38" s="59" t="str">
        <f>IFERROR(__xludf.DUMMYFUNCTION("""COMPUTED_VALUE"""),"Recursos y Toma de decisiones basadas en tecnologías: Introducción a conceptos básicos")</f>
        <v>Recursos y Toma de decisiones basadas en tecnologías: Introducción a conceptos básicos</v>
      </c>
      <c r="F38" s="59" t="str">
        <f>IFERROR(__xludf.DUMMYFUNCTION("""COMPUTED_VALUE"""),"Componentes de un sistemas CRM.")</f>
        <v>Componentes de un sistemas CRM.</v>
      </c>
    </row>
    <row r="39" ht="15.75" customHeight="1">
      <c r="A39" s="56" t="s">
        <v>201</v>
      </c>
    </row>
    <row r="40" ht="15.75" customHeight="1">
      <c r="A40" s="5"/>
      <c r="B40" s="5"/>
      <c r="C40" s="5"/>
      <c r="D40" s="5"/>
      <c r="E40" s="5"/>
      <c r="F40" s="5"/>
      <c r="G40" s="5"/>
      <c r="H40" s="5"/>
    </row>
    <row r="41" ht="15.75" customHeight="1">
      <c r="A41" s="57" t="s">
        <v>202</v>
      </c>
      <c r="B41" s="57" t="s">
        <v>203</v>
      </c>
      <c r="C41" s="60" t="s">
        <v>204</v>
      </c>
      <c r="D41" s="61" t="s">
        <v>144</v>
      </c>
      <c r="E41" s="26"/>
      <c r="F41" s="26"/>
      <c r="G41" s="26"/>
      <c r="H41" s="27"/>
    </row>
    <row r="42" ht="15.75" customHeight="1">
      <c r="A42" s="28" t="s">
        <v>205</v>
      </c>
      <c r="B42" s="28" t="s">
        <v>206</v>
      </c>
      <c r="C42" s="28"/>
      <c r="D42" s="37">
        <v>35.0</v>
      </c>
      <c r="E42" s="26"/>
      <c r="F42" s="26"/>
      <c r="G42" s="26"/>
      <c r="H42" s="27"/>
    </row>
    <row r="43" ht="15.75" customHeight="1">
      <c r="A43" s="28" t="s">
        <v>207</v>
      </c>
      <c r="B43" s="28" t="s">
        <v>206</v>
      </c>
      <c r="C43" s="28" t="s">
        <v>208</v>
      </c>
      <c r="D43" s="37">
        <v>15.0</v>
      </c>
      <c r="E43" s="26"/>
      <c r="F43" s="26"/>
      <c r="G43" s="26"/>
      <c r="H43" s="27"/>
    </row>
    <row r="44" ht="15.75" customHeight="1">
      <c r="A44" s="28" t="s">
        <v>209</v>
      </c>
      <c r="B44" s="28" t="s">
        <v>210</v>
      </c>
      <c r="C44" s="28"/>
      <c r="D44" s="25"/>
      <c r="E44" s="26"/>
      <c r="F44" s="26"/>
      <c r="G44" s="26"/>
      <c r="H44" s="27"/>
    </row>
    <row r="45" ht="15.75" customHeight="1">
      <c r="A45" s="28" t="s">
        <v>211</v>
      </c>
      <c r="B45" s="28" t="s">
        <v>206</v>
      </c>
      <c r="C45" s="28"/>
      <c r="D45" s="37">
        <v>10.0</v>
      </c>
      <c r="E45" s="26"/>
      <c r="F45" s="26"/>
      <c r="G45" s="26"/>
      <c r="H45" s="27"/>
    </row>
    <row r="46" ht="15.75" customHeight="1"/>
    <row r="47" ht="15.75" customHeight="1">
      <c r="A47" s="46" t="s">
        <v>212</v>
      </c>
      <c r="G47" s="40" t="s">
        <v>144</v>
      </c>
      <c r="H47" s="55">
        <f>B53+B64</f>
        <v>30</v>
      </c>
    </row>
    <row r="48" ht="15.75" customHeight="1">
      <c r="G48" s="32" t="s">
        <v>213</v>
      </c>
    </row>
    <row r="49" ht="15.75" customHeight="1">
      <c r="A49" s="32" t="s">
        <v>214</v>
      </c>
    </row>
    <row r="50" ht="15.75" customHeight="1">
      <c r="A50" s="36" t="s">
        <v>215</v>
      </c>
      <c r="B50" s="37" t="s">
        <v>49</v>
      </c>
      <c r="C50" s="26"/>
      <c r="D50" s="26"/>
      <c r="E50" s="26"/>
      <c r="F50" s="26"/>
      <c r="G50" s="26"/>
      <c r="H50" s="27"/>
    </row>
    <row r="51" ht="15.75" customHeight="1">
      <c r="A51" s="36" t="s">
        <v>216</v>
      </c>
      <c r="B51" s="37" t="s">
        <v>217</v>
      </c>
      <c r="C51" s="26"/>
      <c r="D51" s="26"/>
      <c r="E51" s="26"/>
      <c r="F51" s="26"/>
      <c r="G51" s="26"/>
      <c r="H51" s="27"/>
    </row>
    <row r="52" ht="15.75" customHeight="1">
      <c r="A52" s="36" t="s">
        <v>184</v>
      </c>
      <c r="B52" s="62">
        <v>0.0</v>
      </c>
      <c r="C52" s="26"/>
      <c r="D52" s="26"/>
      <c r="E52" s="26"/>
      <c r="F52" s="26"/>
      <c r="G52" s="26"/>
      <c r="H52" s="27"/>
    </row>
    <row r="53" ht="15.75" customHeight="1">
      <c r="A53" s="36" t="s">
        <v>144</v>
      </c>
      <c r="B53" s="37">
        <v>30.0</v>
      </c>
      <c r="C53" s="26"/>
      <c r="D53" s="26"/>
      <c r="E53" s="26"/>
      <c r="F53" s="26"/>
      <c r="G53" s="26"/>
      <c r="H53" s="27"/>
    </row>
    <row r="54" ht="15.75" customHeight="1">
      <c r="A54" s="42" t="s">
        <v>218</v>
      </c>
      <c r="B54" s="5"/>
      <c r="C54" s="5"/>
      <c r="D54" s="5"/>
      <c r="E54" s="5"/>
      <c r="F54" s="5"/>
      <c r="G54" s="5"/>
      <c r="H54" s="5"/>
    </row>
    <row r="55" ht="15.75" customHeight="1">
      <c r="A55" s="48" t="s">
        <v>219</v>
      </c>
      <c r="B55" s="26"/>
      <c r="C55" s="26"/>
      <c r="D55" s="26"/>
      <c r="E55" s="26"/>
      <c r="F55" s="26"/>
      <c r="G55" s="26"/>
      <c r="H55" s="27"/>
    </row>
    <row r="56" ht="15.75" customHeight="1">
      <c r="A56" s="49" t="s">
        <v>220</v>
      </c>
      <c r="B56" s="50"/>
      <c r="C56" s="50"/>
      <c r="D56" s="50"/>
      <c r="E56" s="50"/>
      <c r="F56" s="50"/>
      <c r="G56" s="50"/>
      <c r="H56" s="51"/>
    </row>
    <row r="57" ht="15.75" customHeight="1">
      <c r="A57" s="63"/>
      <c r="H57" s="64"/>
    </row>
    <row r="58" ht="15.75" customHeight="1">
      <c r="A58" s="52"/>
      <c r="B58" s="53"/>
      <c r="C58" s="53"/>
      <c r="D58" s="53"/>
      <c r="E58" s="53"/>
      <c r="F58" s="53"/>
      <c r="G58" s="53"/>
      <c r="H58" s="54"/>
    </row>
    <row r="59" ht="15.75" customHeight="1"/>
    <row r="60" ht="15.75" customHeight="1">
      <c r="A60" s="32" t="s">
        <v>221</v>
      </c>
    </row>
    <row r="61" ht="15.75" customHeight="1">
      <c r="A61" s="36" t="s">
        <v>215</v>
      </c>
      <c r="B61" s="25"/>
      <c r="C61" s="26"/>
      <c r="D61" s="26"/>
      <c r="E61" s="26"/>
      <c r="F61" s="26"/>
      <c r="G61" s="26"/>
      <c r="H61" s="27"/>
    </row>
    <row r="62" ht="15.75" customHeight="1">
      <c r="A62" s="36" t="s">
        <v>216</v>
      </c>
      <c r="B62" s="25"/>
      <c r="C62" s="26"/>
      <c r="D62" s="26"/>
      <c r="E62" s="26"/>
      <c r="F62" s="26"/>
      <c r="G62" s="26"/>
      <c r="H62" s="27"/>
    </row>
    <row r="63" ht="15.75" customHeight="1">
      <c r="A63" s="36" t="s">
        <v>184</v>
      </c>
      <c r="B63" s="62"/>
      <c r="C63" s="26"/>
      <c r="D63" s="26"/>
      <c r="E63" s="26"/>
      <c r="F63" s="26"/>
      <c r="G63" s="26"/>
      <c r="H63" s="27"/>
    </row>
    <row r="64" ht="15.75" customHeight="1">
      <c r="A64" s="36" t="s">
        <v>144</v>
      </c>
      <c r="B64" s="62"/>
      <c r="C64" s="26"/>
      <c r="D64" s="26"/>
      <c r="E64" s="26"/>
      <c r="F64" s="26"/>
      <c r="G64" s="26"/>
      <c r="H64" s="27"/>
    </row>
    <row r="65" ht="15.75" customHeight="1">
      <c r="A65" s="65" t="s">
        <v>222</v>
      </c>
      <c r="B65" s="5"/>
      <c r="C65" s="5"/>
      <c r="D65" s="5"/>
      <c r="E65" s="5"/>
      <c r="F65" s="5"/>
      <c r="G65" s="5"/>
      <c r="H65" s="5"/>
    </row>
    <row r="66" ht="15.75" customHeight="1">
      <c r="A66" s="48" t="s">
        <v>219</v>
      </c>
      <c r="B66" s="26"/>
      <c r="C66" s="26"/>
      <c r="D66" s="26"/>
      <c r="E66" s="26"/>
      <c r="F66" s="26"/>
      <c r="G66" s="26"/>
      <c r="H66" s="27"/>
    </row>
    <row r="67" ht="15.75" customHeight="1">
      <c r="A67" s="66"/>
      <c r="B67" s="50"/>
      <c r="C67" s="50"/>
      <c r="D67" s="50"/>
      <c r="E67" s="50"/>
      <c r="F67" s="50"/>
      <c r="G67" s="50"/>
      <c r="H67" s="51"/>
    </row>
    <row r="68" ht="15.75" customHeight="1">
      <c r="A68" s="63"/>
      <c r="H68" s="64"/>
    </row>
    <row r="69" ht="15.75" customHeight="1">
      <c r="A69" s="52"/>
      <c r="B69" s="53"/>
      <c r="C69" s="53"/>
      <c r="D69" s="53"/>
      <c r="E69" s="53"/>
      <c r="F69" s="53"/>
      <c r="G69" s="53"/>
      <c r="H69" s="54"/>
    </row>
    <row r="70" ht="15.75" customHeight="1"/>
    <row r="71" ht="15.75" customHeight="1">
      <c r="A71" s="46" t="s">
        <v>223</v>
      </c>
      <c r="G71" s="40" t="s">
        <v>144</v>
      </c>
      <c r="H71" s="47">
        <v>5.0</v>
      </c>
    </row>
    <row r="72" ht="15.75" customHeight="1">
      <c r="G72" s="32" t="s">
        <v>224</v>
      </c>
    </row>
    <row r="73" ht="15.75" customHeight="1">
      <c r="A73" s="36" t="s">
        <v>144</v>
      </c>
      <c r="B73" s="67">
        <v>5.0</v>
      </c>
      <c r="C73" s="26"/>
      <c r="D73" s="26"/>
      <c r="E73" s="26"/>
      <c r="F73" s="26"/>
      <c r="G73" s="26"/>
      <c r="H73" s="27"/>
    </row>
    <row r="74" ht="15.75" customHeight="1">
      <c r="A74" s="61" t="s">
        <v>225</v>
      </c>
      <c r="B74" s="26"/>
      <c r="C74" s="26"/>
      <c r="D74" s="26"/>
      <c r="E74" s="26"/>
      <c r="F74" s="26"/>
      <c r="G74" s="26"/>
      <c r="H74" s="27"/>
    </row>
    <row r="75" ht="15.75" customHeight="1">
      <c r="A75" s="49" t="s">
        <v>226</v>
      </c>
      <c r="B75" s="50"/>
      <c r="C75" s="50"/>
      <c r="D75" s="50"/>
      <c r="E75" s="50"/>
      <c r="F75" s="50"/>
      <c r="G75" s="50"/>
      <c r="H75" s="51"/>
    </row>
    <row r="76" ht="15.75" customHeight="1">
      <c r="A76" s="52"/>
      <c r="B76" s="53"/>
      <c r="C76" s="53"/>
      <c r="D76" s="53"/>
      <c r="E76" s="53"/>
      <c r="F76" s="53"/>
      <c r="G76" s="53"/>
      <c r="H76" s="54"/>
    </row>
    <row r="77" ht="15.75" customHeight="1">
      <c r="A77" s="32" t="s">
        <v>227</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61">
    <mergeCell ref="A47:F47"/>
    <mergeCell ref="B50:H50"/>
    <mergeCell ref="B51:H51"/>
    <mergeCell ref="B52:H52"/>
    <mergeCell ref="B53:H53"/>
    <mergeCell ref="A55:H55"/>
    <mergeCell ref="A56:H58"/>
    <mergeCell ref="B73:H73"/>
    <mergeCell ref="A74:H74"/>
    <mergeCell ref="A75:H76"/>
    <mergeCell ref="B61:H61"/>
    <mergeCell ref="B62:H62"/>
    <mergeCell ref="B63:H63"/>
    <mergeCell ref="B64:H64"/>
    <mergeCell ref="A66:H66"/>
    <mergeCell ref="A67:H69"/>
    <mergeCell ref="A71:F71"/>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41:H41"/>
    <mergeCell ref="D42:H42"/>
    <mergeCell ref="D43:H43"/>
    <mergeCell ref="D44:H44"/>
    <mergeCell ref="D45:H45"/>
  </mergeCells>
  <dataValidations>
    <dataValidation type="list" allowBlank="1" showErrorMessage="1" sqref="B23:B24 B50 B61">
      <formula1>METADATA!$I$17:$I$40</formula1>
    </dataValidation>
    <dataValidation type="list" allowBlank="1" showErrorMessage="1" sqref="B51">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3.0</v>
      </c>
      <c r="D5" s="26"/>
      <c r="E5" s="26"/>
      <c r="F5" s="26"/>
      <c r="G5" s="27"/>
    </row>
    <row r="6" ht="15.75" customHeight="1">
      <c r="B6" s="45" t="s">
        <v>142</v>
      </c>
      <c r="C6" s="25">
        <f>H10+H21+H49+H73</f>
        <v>100</v>
      </c>
      <c r="D6" s="26"/>
      <c r="E6" s="26"/>
      <c r="F6" s="26"/>
      <c r="G6" s="27"/>
      <c r="I6" s="5"/>
    </row>
    <row r="7" ht="15.75" customHeight="1">
      <c r="B7" s="45" t="s">
        <v>184</v>
      </c>
      <c r="C7" s="25">
        <f>B54+B65</f>
        <v>0</v>
      </c>
      <c r="D7" s="26"/>
      <c r="E7" s="26"/>
      <c r="F7" s="26"/>
      <c r="G7" s="27"/>
    </row>
    <row r="8" ht="15.75" customHeight="1">
      <c r="B8" s="45" t="s">
        <v>185</v>
      </c>
      <c r="C8" s="25" t="str">
        <f>IF(H49&lt;=0, "❌ ERROR: La Actividad 1 debe tener un tiempo mayor a 0.", IF(H21&gt;60, "❌ ERROR: El 'Área de Conocimiento' no puede exceder los 60 min.", IF((H10+H21+H49+H73)&lt;100, "❌ ERROR: El tiempo total debe ser de al menos 100 min.", "✅ VALIDACIÓN CORRECTA")))</f>
        <v>✅ VALIDACIÓN CORRECTA</v>
      </c>
      <c r="D8" s="26"/>
      <c r="E8" s="26"/>
      <c r="F8" s="26"/>
      <c r="G8" s="27"/>
      <c r="I8" s="5"/>
      <c r="J8" s="5"/>
      <c r="K8" s="5"/>
    </row>
    <row r="9" ht="15.75" customHeight="1"/>
    <row r="10" ht="15.75" customHeight="1">
      <c r="A10" s="46" t="s">
        <v>186</v>
      </c>
      <c r="G10" s="40" t="s">
        <v>144</v>
      </c>
      <c r="H10" s="55">
        <f>B13</f>
        <v>5</v>
      </c>
    </row>
    <row r="11" ht="15.75" customHeight="1">
      <c r="G11" s="32" t="s">
        <v>187</v>
      </c>
    </row>
    <row r="12" ht="15.75" customHeight="1">
      <c r="A12" s="36" t="s">
        <v>188</v>
      </c>
      <c r="B12" s="37" t="s">
        <v>228</v>
      </c>
      <c r="C12" s="26"/>
      <c r="D12" s="26"/>
      <c r="E12" s="26"/>
      <c r="F12" s="26"/>
      <c r="G12" s="26"/>
      <c r="H12" s="27"/>
    </row>
    <row r="13" ht="15.75" customHeight="1">
      <c r="A13" s="38" t="s">
        <v>144</v>
      </c>
      <c r="B13" s="37">
        <v>5.0</v>
      </c>
      <c r="C13" s="26"/>
      <c r="D13" s="26"/>
      <c r="E13" s="26"/>
      <c r="F13" s="26"/>
      <c r="G13" s="26"/>
      <c r="H13" s="27"/>
    </row>
    <row r="14" ht="15.75" customHeight="1">
      <c r="A14" s="48" t="s">
        <v>190</v>
      </c>
      <c r="B14" s="26"/>
      <c r="C14" s="26"/>
      <c r="D14" s="26"/>
      <c r="E14" s="26"/>
      <c r="F14" s="26"/>
      <c r="G14" s="26"/>
      <c r="H14" s="27"/>
    </row>
    <row r="15" ht="15.75" customHeight="1">
      <c r="A15" s="49" t="s">
        <v>229</v>
      </c>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49" t="s">
        <v>230</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55">
        <f>D44+D45+D46+D47</f>
        <v>60</v>
      </c>
      <c r="I21" s="5"/>
    </row>
    <row r="22" ht="15.75" customHeight="1">
      <c r="G22" s="32" t="s">
        <v>195</v>
      </c>
    </row>
    <row r="23" ht="15.75" customHeight="1">
      <c r="A23" s="36" t="s">
        <v>196</v>
      </c>
      <c r="B23" s="37" t="s">
        <v>49</v>
      </c>
      <c r="C23" s="26"/>
      <c r="D23" s="26"/>
      <c r="E23" s="26"/>
      <c r="F23" s="26"/>
      <c r="G23" s="26"/>
      <c r="H23" s="27"/>
    </row>
    <row r="24" ht="15.75" customHeight="1">
      <c r="A24" s="36" t="s">
        <v>196</v>
      </c>
      <c r="B24" s="37" t="s">
        <v>231</v>
      </c>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2 Recursos y toma de decisiones basadas en tecnologías.")</f>
        <v>Unidad 2 Recursos y toma de decisiones basadas en tecnologías.</v>
      </c>
      <c r="C28" s="27"/>
      <c r="D28" s="25" t="str">
        <f>IFERROR(__xludf.DUMMYFUNCTION("FILTER('Diseño'!E:E,'Diseño'!H:H=$C$5)"),"Recursos y Toma de decisiones basadas en tecnologías: Introducción a conceptos básicos")</f>
        <v>Recursos y Toma de decisiones basadas en tecnologías: Introducción a conceptos básicos</v>
      </c>
      <c r="E28" s="27"/>
      <c r="F28" s="25" t="str">
        <f>IFERROR(__xludf.DUMMYFUNCTION("FILTER('Diseño'!F:F,'Diseño'!H:H=$C$5)"),"Tipos de CRM's.")</f>
        <v>Tipos de CRM's.</v>
      </c>
      <c r="G28" s="26"/>
      <c r="H28" s="27"/>
    </row>
    <row r="29" ht="15.75" customHeight="1">
      <c r="A29" s="28">
        <v>2.0</v>
      </c>
      <c r="B29" s="25" t="str">
        <f>IFERROR(__xludf.DUMMYFUNCTION("""COMPUTED_VALUE"""),"Unidad 2 Recursos y toma de decisiones basadas en tecnologías.")</f>
        <v>Unidad 2 Recursos y toma de decisiones basadas en tecnologías.</v>
      </c>
      <c r="C29" s="27"/>
      <c r="D29" s="25" t="str">
        <f>IFERROR(__xludf.DUMMYFUNCTION("""COMPUTED_VALUE"""),"Recursos y Toma de decisiones basadas en tecnologías: Introducción a conceptos básicos")</f>
        <v>Recursos y Toma de decisiones basadas en tecnologías: Introducción a conceptos básicos</v>
      </c>
      <c r="E29" s="27"/>
      <c r="F29" s="25" t="str">
        <f>IFERROR(__xludf.DUMMYFUNCTION("""COMPUTED_VALUE"""),"Beneficios de un CRM e implementación.")</f>
        <v>Beneficios de un CRM e implementación.</v>
      </c>
      <c r="G29" s="26"/>
      <c r="H29" s="27"/>
    </row>
    <row r="30" ht="15.75" customHeight="1">
      <c r="A30" s="28">
        <v>3.0</v>
      </c>
      <c r="B30" s="25" t="str">
        <f>IFERROR(__xludf.DUMMYFUNCTION("""COMPUTED_VALUE"""),"Unidad 2 Recursos y toma de decisiones basadas en tecnologías.")</f>
        <v>Unidad 2 Recursos y toma de decisiones basadas en tecnologías.</v>
      </c>
      <c r="C30" s="27"/>
      <c r="D30" s="25" t="str">
        <f>IFERROR(__xludf.DUMMYFUNCTION("""COMPUTED_VALUE"""),"Recursos y Toma de decisiones basadas en tecnologías: Introducción a conceptos básicos")</f>
        <v>Recursos y Toma de decisiones basadas en tecnologías: Introducción a conceptos básicos</v>
      </c>
      <c r="E30" s="27"/>
      <c r="F30" s="25" t="str">
        <f>IFERROR(__xludf.DUMMYFUNCTION("""COMPUTED_VALUE"""),"Arquitectura y modularidad de un sistema CRM.")</f>
        <v>Arquitectura y modularidad de un sistema CRM.</v>
      </c>
      <c r="G30" s="26"/>
      <c r="H30" s="27"/>
    </row>
    <row r="31" ht="15.75" customHeight="1">
      <c r="A31" s="28">
        <v>4.0</v>
      </c>
      <c r="B31" s="25" t="str">
        <f>IFERROR(__xludf.DUMMYFUNCTION("""COMPUTED_VALUE"""),"Unidad 2 Recursos y toma de decisiones basadas en tecnologías.")</f>
        <v>Unidad 2 Recursos y toma de decisiones basadas en tecnologías.</v>
      </c>
      <c r="C31" s="27"/>
      <c r="D31" s="25" t="str">
        <f>IFERROR(__xludf.DUMMYFUNCTION("""COMPUTED_VALUE"""),"Recursos y Toma de decisiones basadas en tecnologías: Introducción a conceptos básicos")</f>
        <v>Recursos y Toma de decisiones basadas en tecnologías: Introducción a conceptos básicos</v>
      </c>
      <c r="E31" s="27"/>
      <c r="F31" s="25" t="str">
        <f>IFERROR(__xludf.DUMMYFUNCTION("""COMPUTED_VALUE"""),"Automatización e integración ERP y CRM.")</f>
        <v>Automatización e integración ERP y CRM.</v>
      </c>
      <c r="G31" s="26"/>
      <c r="H31" s="27"/>
    </row>
    <row r="32" ht="15.75" customHeight="1">
      <c r="A32" s="28">
        <v>5.0</v>
      </c>
      <c r="B32" s="25" t="str">
        <f>IFERROR(__xludf.DUMMYFUNCTION("""COMPUTED_VALUE"""),"Unidad 2 Recursos y toma de decisiones basadas en tecnologías.")</f>
        <v>Unidad 2 Recursos y toma de decisiones basadas en tecnologías.</v>
      </c>
      <c r="C32" s="27"/>
      <c r="D32" s="25" t="str">
        <f>IFERROR(__xludf.DUMMYFUNCTION("""COMPUTED_VALUE"""),"Recursos y Toma de decisiones basadas en tecnologías: Introducción a conceptos básicos")</f>
        <v>Recursos y Toma de decisiones basadas en tecnologías: Introducción a conceptos básicos</v>
      </c>
      <c r="E32" s="27"/>
      <c r="F32" s="25" t="str">
        <f>IFERROR(__xludf.DUMMYFUNCTION("""COMPUTED_VALUE"""),"Casos de éxito y empresas especializadas.")</f>
        <v>Casos de éxito y empresas especializadas.</v>
      </c>
      <c r="G32" s="26"/>
      <c r="H32" s="27"/>
    </row>
    <row r="33" ht="15.75" customHeight="1">
      <c r="A33" s="28">
        <v>6.0</v>
      </c>
      <c r="B33" s="25" t="str">
        <f>IFERROR(__xludf.DUMMYFUNCTION("""COMPUTED_VALUE"""),"Unidad 2 Recursos y toma de decisiones basadas en tecnologías.")</f>
        <v>Unidad 2 Recursos y toma de decisiones basadas en tecnologías.</v>
      </c>
      <c r="C33" s="27"/>
      <c r="D33" s="25" t="str">
        <f>IFERROR(__xludf.DUMMYFUNCTION("""COMPUTED_VALUE"""),"Recursos y Toma de decisiones basadas en tecnologías: Automatización, personalización y analisis.")</f>
        <v>Recursos y Toma de decisiones basadas en tecnologías: Automatización, personalización y analisis.</v>
      </c>
      <c r="E33" s="27"/>
      <c r="F33" s="25" t="str">
        <f>IFERROR(__xludf.DUMMYFUNCTION("""COMPUTED_VALUE"""),"Impacto en la productividad empresarial.")</f>
        <v>Impacto en la productividad empresarial.</v>
      </c>
      <c r="G33" s="26"/>
      <c r="H33" s="27"/>
    </row>
    <row r="34" ht="15.75" customHeight="1">
      <c r="A34" s="28">
        <v>7.0</v>
      </c>
      <c r="B34" s="25" t="str">
        <f>IFERROR(__xludf.DUMMYFUNCTION("""COMPUTED_VALUE"""),"Unidad 2 Recursos y toma de decisiones basadas en tecnologías.")</f>
        <v>Unidad 2 Recursos y toma de decisiones basadas en tecnologías.</v>
      </c>
      <c r="C34" s="27"/>
      <c r="D34" s="25" t="str">
        <f>IFERROR(__xludf.DUMMYFUNCTION("""COMPUTED_VALUE"""),"Recursos y Toma de decisiones basadas en tecnologías: Automatización, personalización y analisis.")</f>
        <v>Recursos y Toma de decisiones basadas en tecnologías: Automatización, personalización y analisis.</v>
      </c>
      <c r="E34" s="27"/>
      <c r="F34" s="25" t="str">
        <f>IFERROR(__xludf.DUMMYFUNCTION("""COMPUTED_VALUE"""),"Definiciones y tipos de analisis.")</f>
        <v>Definiciones y tipos de analisis.</v>
      </c>
      <c r="G34" s="26"/>
      <c r="H34" s="27"/>
    </row>
    <row r="35" ht="15.75" customHeight="1">
      <c r="A35" s="5"/>
      <c r="B35" s="5" t="str">
        <f>IFERROR(__xludf.DUMMYFUNCTION("""COMPUTED_VALUE"""),"Unidad 2 Recursos y toma de decisiones basadas en tecnologías.")</f>
        <v>Unidad 2 Recursos y toma de decisiones basadas en tecnologías.</v>
      </c>
      <c r="C35" s="5"/>
      <c r="D35" s="5" t="str">
        <f>IFERROR(__xludf.DUMMYFUNCTION("""COMPUTED_VALUE"""),"Recursos y Toma de decisiones basadas en tecnologías: Automatización, personalización y analisis.")</f>
        <v>Recursos y Toma de decisiones basadas en tecnologías: Automatización, personalización y analisis.</v>
      </c>
      <c r="E35" s="5"/>
      <c r="F35" s="5" t="str">
        <f>IFERROR(__xludf.DUMMYFUNCTION("""COMPUTED_VALUE"""),"Técnicas utilizadas, modelos estadísticos.")</f>
        <v>Técnicas utilizadas, modelos estadísticos.</v>
      </c>
      <c r="G35" s="5"/>
      <c r="H35" s="5"/>
    </row>
    <row r="36" ht="15.75" customHeight="1">
      <c r="A36" s="5"/>
      <c r="B36" s="5" t="str">
        <f>IFERROR(__xludf.DUMMYFUNCTION("""COMPUTED_VALUE"""),"Unidad 2 Recursos y toma de decisiones basadas en tecnologías.")</f>
        <v>Unidad 2 Recursos y toma de decisiones basadas en tecnologías.</v>
      </c>
      <c r="C36" s="5"/>
      <c r="D36" s="5" t="str">
        <f>IFERROR(__xludf.DUMMYFUNCTION("""COMPUTED_VALUE"""),"Recursos y Toma de decisiones basadas en tecnologías: Automatización, personalización y analisis.")</f>
        <v>Recursos y Toma de decisiones basadas en tecnologías: Automatización, personalización y analisis.</v>
      </c>
      <c r="E36" s="5"/>
      <c r="F36" s="5" t="str">
        <f>IFERROR(__xludf.DUMMYFUNCTION("""COMPUTED_VALUE"""),"Desafios y técnicas de integración.")</f>
        <v>Desafios y técnicas de integración.</v>
      </c>
      <c r="G36" s="5"/>
      <c r="H36" s="5"/>
    </row>
    <row r="37" ht="15.75" customHeight="1">
      <c r="A37" s="5"/>
      <c r="B37" s="5" t="str">
        <f>IFERROR(__xludf.DUMMYFUNCTION("""COMPUTED_VALUE"""),"Unidad 2 Recursos y toma de decisiones basadas en tecnologías.")</f>
        <v>Unidad 2 Recursos y toma de decisiones basadas en tecnologías.</v>
      </c>
      <c r="C37" s="5"/>
      <c r="D37" s="5" t="str">
        <f>IFERROR(__xludf.DUMMYFUNCTION("""COMPUTED_VALUE"""),"Recursos y Toma de decisiones basadas en tecnologías: Automatización, personalización y analisis.")</f>
        <v>Recursos y Toma de decisiones basadas en tecnologías: Automatización, personalización y analisis.</v>
      </c>
      <c r="E37" s="5"/>
      <c r="F37" s="5" t="str">
        <f>IFERROR(__xludf.DUMMYFUNCTION("""COMPUTED_VALUE"""),"Importancia UIX y personalización.")</f>
        <v>Importancia UIX y personalización.</v>
      </c>
      <c r="G37" s="5"/>
      <c r="H37" s="5"/>
    </row>
    <row r="38" ht="15.75" customHeight="1">
      <c r="A38" s="5"/>
      <c r="B38" s="5" t="str">
        <f>IFERROR(__xludf.DUMMYFUNCTION("""COMPUTED_VALUE"""),"Unidad 2 Recursos y toma de decisiones basadas en tecnologías.")</f>
        <v>Unidad 2 Recursos y toma de decisiones basadas en tecnologías.</v>
      </c>
      <c r="C38" s="5"/>
      <c r="D38" s="5" t="str">
        <f>IFERROR(__xludf.DUMMYFUNCTION("""COMPUTED_VALUE"""),"Recursos y Toma de decisiones basadas en tecnologías: Automatización, personalización y analisis.")</f>
        <v>Recursos y Toma de decisiones basadas en tecnologías: Automatización, personalización y analisis.</v>
      </c>
      <c r="E38" s="5"/>
      <c r="F38" s="5" t="str">
        <f>IFERROR(__xludf.DUMMYFUNCTION("""COMPUTED_VALUE"""),"Nuevas tendencias e integraciones.")</f>
        <v>Nuevas tendencias e integraciones.</v>
      </c>
      <c r="G38" s="5"/>
      <c r="H38" s="5"/>
    </row>
    <row r="39" ht="15.75" customHeight="1">
      <c r="A39" s="5"/>
      <c r="B39" s="5" t="str">
        <f>IFERROR(__xludf.DUMMYFUNCTION("""COMPUTED_VALUE"""),"Unidad 2 Recursos y toma de decisiones basadas en tecnologías.")</f>
        <v>Unidad 2 Recursos y toma de decisiones basadas en tecnologías.</v>
      </c>
      <c r="C39" s="5"/>
      <c r="D39" s="5" t="str">
        <f>IFERROR(__xludf.DUMMYFUNCTION("""COMPUTED_VALUE"""),"Recursos y Toma de decisiones basadas en tecnologías: Automatización, personalización y analisis.")</f>
        <v>Recursos y Toma de decisiones basadas en tecnologías: Automatización, personalización y analisis.</v>
      </c>
      <c r="E39" s="5"/>
      <c r="F39" s="5" t="str">
        <f>IFERROR(__xludf.DUMMYFUNCTION("""COMPUTED_VALUE"""),"Ejemplos de éxito.")</f>
        <v>Ejemplos de éxito.</v>
      </c>
      <c r="G39" s="5"/>
      <c r="H39" s="5"/>
    </row>
    <row r="40" ht="15.75" customHeight="1"/>
    <row r="41" ht="15.75" customHeight="1">
      <c r="A41" s="56" t="s">
        <v>201</v>
      </c>
    </row>
    <row r="42" ht="15.75" customHeight="1">
      <c r="A42" s="5"/>
      <c r="B42" s="5"/>
      <c r="C42" s="5"/>
      <c r="D42" s="5"/>
      <c r="E42" s="5"/>
      <c r="F42" s="5"/>
      <c r="G42" s="5"/>
      <c r="H42" s="5"/>
    </row>
    <row r="43" ht="15.75" customHeight="1">
      <c r="A43" s="57" t="s">
        <v>202</v>
      </c>
      <c r="B43" s="57" t="s">
        <v>203</v>
      </c>
      <c r="C43" s="60" t="s">
        <v>204</v>
      </c>
      <c r="D43" s="61" t="s">
        <v>144</v>
      </c>
      <c r="E43" s="26"/>
      <c r="F43" s="26"/>
      <c r="G43" s="26"/>
      <c r="H43" s="27"/>
    </row>
    <row r="44" ht="15.75" customHeight="1">
      <c r="A44" s="28" t="s">
        <v>205</v>
      </c>
      <c r="B44" s="28" t="s">
        <v>206</v>
      </c>
      <c r="C44" s="28"/>
      <c r="D44" s="37">
        <v>20.0</v>
      </c>
      <c r="E44" s="26"/>
      <c r="F44" s="26"/>
      <c r="G44" s="26"/>
      <c r="H44" s="27"/>
    </row>
    <row r="45" ht="15.75" customHeight="1">
      <c r="A45" s="28" t="s">
        <v>207</v>
      </c>
      <c r="B45" s="28" t="s">
        <v>206</v>
      </c>
      <c r="C45" s="28" t="s">
        <v>208</v>
      </c>
      <c r="D45" s="37">
        <v>10.0</v>
      </c>
      <c r="E45" s="26"/>
      <c r="F45" s="26"/>
      <c r="G45" s="26"/>
      <c r="H45" s="27"/>
    </row>
    <row r="46" ht="15.75" customHeight="1">
      <c r="A46" s="28" t="s">
        <v>209</v>
      </c>
      <c r="B46" s="28" t="s">
        <v>210</v>
      </c>
      <c r="C46" s="28"/>
      <c r="D46" s="37">
        <v>10.0</v>
      </c>
      <c r="E46" s="26"/>
      <c r="F46" s="26"/>
      <c r="G46" s="26"/>
      <c r="H46" s="27"/>
    </row>
    <row r="47" ht="15.75" customHeight="1">
      <c r="A47" s="28" t="s">
        <v>211</v>
      </c>
      <c r="B47" s="28" t="s">
        <v>206</v>
      </c>
      <c r="C47" s="28"/>
      <c r="D47" s="37">
        <v>20.0</v>
      </c>
      <c r="E47" s="26"/>
      <c r="F47" s="26"/>
      <c r="G47" s="26"/>
      <c r="H47" s="27"/>
    </row>
    <row r="48" ht="15.75" customHeight="1"/>
    <row r="49" ht="15.75" customHeight="1">
      <c r="A49" s="46" t="s">
        <v>212</v>
      </c>
      <c r="G49" s="40" t="s">
        <v>144</v>
      </c>
      <c r="H49" s="55">
        <f>B55+B66</f>
        <v>30</v>
      </c>
    </row>
    <row r="50" ht="15.75" customHeight="1">
      <c r="G50" s="32" t="s">
        <v>213</v>
      </c>
    </row>
    <row r="51" ht="15.75" customHeight="1">
      <c r="A51" s="32" t="s">
        <v>214</v>
      </c>
    </row>
    <row r="52" ht="15.75" customHeight="1">
      <c r="A52" s="36" t="s">
        <v>215</v>
      </c>
      <c r="B52" s="37" t="s">
        <v>231</v>
      </c>
      <c r="C52" s="26"/>
      <c r="D52" s="26"/>
      <c r="E52" s="26"/>
      <c r="F52" s="26"/>
      <c r="G52" s="26"/>
      <c r="H52" s="27"/>
    </row>
    <row r="53" ht="15.75" customHeight="1">
      <c r="A53" s="36" t="s">
        <v>216</v>
      </c>
      <c r="B53" s="37" t="s">
        <v>217</v>
      </c>
      <c r="C53" s="26"/>
      <c r="D53" s="26"/>
      <c r="E53" s="26"/>
      <c r="F53" s="26"/>
      <c r="G53" s="26"/>
      <c r="H53" s="27"/>
    </row>
    <row r="54" ht="15.75" customHeight="1">
      <c r="A54" s="36" t="s">
        <v>184</v>
      </c>
      <c r="B54" s="62">
        <v>0.0</v>
      </c>
      <c r="C54" s="26"/>
      <c r="D54" s="26"/>
      <c r="E54" s="26"/>
      <c r="F54" s="26"/>
      <c r="G54" s="26"/>
      <c r="H54" s="27"/>
    </row>
    <row r="55" ht="15.75" customHeight="1">
      <c r="A55" s="36" t="s">
        <v>144</v>
      </c>
      <c r="B55" s="37">
        <v>30.0</v>
      </c>
      <c r="C55" s="26"/>
      <c r="D55" s="26"/>
      <c r="E55" s="26"/>
      <c r="F55" s="26"/>
      <c r="G55" s="26"/>
      <c r="H55" s="27"/>
    </row>
    <row r="56" ht="15.75" customHeight="1">
      <c r="A56" s="42" t="s">
        <v>218</v>
      </c>
      <c r="B56" s="5"/>
      <c r="C56" s="5"/>
      <c r="D56" s="5"/>
      <c r="E56" s="5"/>
      <c r="F56" s="5"/>
      <c r="G56" s="5"/>
      <c r="H56" s="5"/>
    </row>
    <row r="57" ht="15.75" customHeight="1">
      <c r="A57" s="48" t="s">
        <v>219</v>
      </c>
      <c r="B57" s="26"/>
      <c r="C57" s="26"/>
      <c r="D57" s="26"/>
      <c r="E57" s="26"/>
      <c r="F57" s="26"/>
      <c r="G57" s="26"/>
      <c r="H57" s="27"/>
    </row>
    <row r="58" ht="15.75" customHeight="1">
      <c r="A58" s="49" t="s">
        <v>232</v>
      </c>
      <c r="B58" s="50"/>
      <c r="C58" s="50"/>
      <c r="D58" s="50"/>
      <c r="E58" s="50"/>
      <c r="F58" s="50"/>
      <c r="G58" s="50"/>
      <c r="H58" s="51"/>
    </row>
    <row r="59" ht="15.75" customHeight="1">
      <c r="A59" s="63"/>
      <c r="H59" s="64"/>
    </row>
    <row r="60" ht="15.75" customHeight="1">
      <c r="A60" s="52"/>
      <c r="B60" s="53"/>
      <c r="C60" s="53"/>
      <c r="D60" s="53"/>
      <c r="E60" s="53"/>
      <c r="F60" s="53"/>
      <c r="G60" s="53"/>
      <c r="H60" s="54"/>
    </row>
    <row r="61" ht="15.75" customHeight="1"/>
    <row r="62" ht="15.75" customHeight="1">
      <c r="A62" s="32" t="s">
        <v>221</v>
      </c>
    </row>
    <row r="63" ht="15.75" customHeight="1">
      <c r="A63" s="36" t="s">
        <v>215</v>
      </c>
      <c r="B63" s="25"/>
      <c r="C63" s="26"/>
      <c r="D63" s="26"/>
      <c r="E63" s="26"/>
      <c r="F63" s="26"/>
      <c r="G63" s="26"/>
      <c r="H63" s="27"/>
    </row>
    <row r="64" ht="15.75" customHeight="1">
      <c r="A64" s="36" t="s">
        <v>216</v>
      </c>
      <c r="B64" s="25"/>
      <c r="C64" s="26"/>
      <c r="D64" s="26"/>
      <c r="E64" s="26"/>
      <c r="F64" s="26"/>
      <c r="G64" s="26"/>
      <c r="H64" s="27"/>
    </row>
    <row r="65" ht="15.75" customHeight="1">
      <c r="A65" s="36" t="s">
        <v>184</v>
      </c>
      <c r="B65" s="62"/>
      <c r="C65" s="26"/>
      <c r="D65" s="26"/>
      <c r="E65" s="26"/>
      <c r="F65" s="26"/>
      <c r="G65" s="26"/>
      <c r="H65" s="27"/>
    </row>
    <row r="66" ht="15.75" customHeight="1">
      <c r="A66" s="36" t="s">
        <v>144</v>
      </c>
      <c r="B66" s="62"/>
      <c r="C66" s="26"/>
      <c r="D66" s="26"/>
      <c r="E66" s="26"/>
      <c r="F66" s="26"/>
      <c r="G66" s="26"/>
      <c r="H66" s="27"/>
    </row>
    <row r="67" ht="15.75" customHeight="1">
      <c r="A67" s="65" t="s">
        <v>222</v>
      </c>
      <c r="B67" s="5"/>
      <c r="C67" s="5"/>
      <c r="D67" s="5"/>
      <c r="E67" s="5"/>
      <c r="F67" s="5"/>
      <c r="G67" s="5"/>
      <c r="H67" s="5"/>
    </row>
    <row r="68" ht="15.75" customHeight="1">
      <c r="A68" s="48" t="s">
        <v>219</v>
      </c>
      <c r="B68" s="26"/>
      <c r="C68" s="26"/>
      <c r="D68" s="26"/>
      <c r="E68" s="26"/>
      <c r="F68" s="26"/>
      <c r="G68" s="26"/>
      <c r="H68" s="27"/>
    </row>
    <row r="69" ht="15.75" customHeight="1">
      <c r="A69" s="66"/>
      <c r="B69" s="50"/>
      <c r="C69" s="50"/>
      <c r="D69" s="50"/>
      <c r="E69" s="50"/>
      <c r="F69" s="50"/>
      <c r="G69" s="50"/>
      <c r="H69" s="51"/>
    </row>
    <row r="70" ht="15.75" customHeight="1">
      <c r="A70" s="63"/>
      <c r="H70" s="64"/>
    </row>
    <row r="71" ht="15.75" customHeight="1">
      <c r="A71" s="52"/>
      <c r="B71" s="53"/>
      <c r="C71" s="53"/>
      <c r="D71" s="53"/>
      <c r="E71" s="53"/>
      <c r="F71" s="53"/>
      <c r="G71" s="53"/>
      <c r="H71" s="54"/>
    </row>
    <row r="72" ht="15.75" customHeight="1"/>
    <row r="73" ht="15.75" customHeight="1">
      <c r="A73" s="46" t="s">
        <v>223</v>
      </c>
      <c r="G73" s="40" t="s">
        <v>144</v>
      </c>
      <c r="H73" s="47">
        <v>5.0</v>
      </c>
    </row>
    <row r="74" ht="15.75" customHeight="1">
      <c r="G74" s="32" t="s">
        <v>224</v>
      </c>
    </row>
    <row r="75" ht="15.75" customHeight="1">
      <c r="A75" s="36" t="s">
        <v>144</v>
      </c>
      <c r="B75" s="67">
        <v>5.0</v>
      </c>
      <c r="C75" s="26"/>
      <c r="D75" s="26"/>
      <c r="E75" s="26"/>
      <c r="F75" s="26"/>
      <c r="G75" s="26"/>
      <c r="H75" s="27"/>
    </row>
    <row r="76" ht="15.75" customHeight="1">
      <c r="A76" s="61" t="s">
        <v>225</v>
      </c>
      <c r="B76" s="26"/>
      <c r="C76" s="26"/>
      <c r="D76" s="26"/>
      <c r="E76" s="26"/>
      <c r="F76" s="26"/>
      <c r="G76" s="26"/>
      <c r="H76" s="27"/>
    </row>
    <row r="77" ht="15.75" customHeight="1">
      <c r="A77" s="49" t="s">
        <v>233</v>
      </c>
      <c r="B77" s="50"/>
      <c r="C77" s="50"/>
      <c r="D77" s="50"/>
      <c r="E77" s="50"/>
      <c r="F77" s="50"/>
      <c r="G77" s="50"/>
      <c r="H77" s="51"/>
    </row>
    <row r="78" ht="15.75" customHeight="1">
      <c r="A78" s="52"/>
      <c r="B78" s="53"/>
      <c r="C78" s="53"/>
      <c r="D78" s="53"/>
      <c r="E78" s="53"/>
      <c r="F78" s="53"/>
      <c r="G78" s="53"/>
      <c r="H78" s="54"/>
    </row>
    <row r="79" ht="15.75" customHeight="1">
      <c r="A79" s="32" t="s">
        <v>227</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61">
    <mergeCell ref="A49:F49"/>
    <mergeCell ref="B52:H52"/>
    <mergeCell ref="B53:H53"/>
    <mergeCell ref="B54:H54"/>
    <mergeCell ref="B55:H55"/>
    <mergeCell ref="A57:H57"/>
    <mergeCell ref="A58:H60"/>
    <mergeCell ref="B75:H75"/>
    <mergeCell ref="A76:H76"/>
    <mergeCell ref="A77:H78"/>
    <mergeCell ref="B63:H63"/>
    <mergeCell ref="B64:H64"/>
    <mergeCell ref="B65:H65"/>
    <mergeCell ref="B66:H66"/>
    <mergeCell ref="A68:H68"/>
    <mergeCell ref="A69:H71"/>
    <mergeCell ref="A73:F7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43:H43"/>
    <mergeCell ref="D44:H44"/>
    <mergeCell ref="D45:H45"/>
    <mergeCell ref="D46:H46"/>
    <mergeCell ref="D47:H47"/>
  </mergeCells>
  <dataValidations>
    <dataValidation type="list" allowBlank="1" showErrorMessage="1" sqref="B23:B24 B52 B63">
      <formula1>METADATA!$I$17:$I$40</formula1>
    </dataValidation>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4.0</v>
      </c>
      <c r="D5" s="26"/>
      <c r="E5" s="26"/>
      <c r="F5" s="26"/>
      <c r="G5" s="27"/>
    </row>
    <row r="6" ht="15.75" customHeight="1">
      <c r="B6" s="45" t="s">
        <v>142</v>
      </c>
      <c r="C6" s="25">
        <f>H10+H21+H51+H75</f>
        <v>100</v>
      </c>
      <c r="D6" s="26"/>
      <c r="E6" s="26"/>
      <c r="F6" s="26"/>
      <c r="G6" s="27"/>
      <c r="I6" s="5"/>
    </row>
    <row r="7" ht="15.75" customHeight="1">
      <c r="B7" s="45" t="s">
        <v>184</v>
      </c>
      <c r="C7" s="25">
        <f>B56+B67</f>
        <v>0</v>
      </c>
      <c r="D7" s="26"/>
      <c r="E7" s="26"/>
      <c r="F7" s="26"/>
      <c r="G7" s="27"/>
    </row>
    <row r="8" ht="15.75" customHeight="1">
      <c r="B8" s="45" t="s">
        <v>185</v>
      </c>
      <c r="C8" s="25" t="str">
        <f>IF(H51&lt;=0, "❌ ERROR: La Actividad 1 debe tener un tiempo mayor a 0.", IF(H21&gt;60, "❌ ERROR: El 'Área de Conocimiento' no puede exceder los 60 min.", IF((H10+H21+H51+H75)&lt;100, "❌ ERROR: El tiempo total debe ser de al menos 100 min.", "✅ VALIDACIÓN CORRECTA")))</f>
        <v>✅ VALIDACIÓN CORRECTA</v>
      </c>
      <c r="D8" s="26"/>
      <c r="E8" s="26"/>
      <c r="F8" s="26"/>
      <c r="G8" s="27"/>
      <c r="I8" s="5"/>
      <c r="J8" s="5"/>
      <c r="K8" s="5"/>
    </row>
    <row r="9" ht="15.75" customHeight="1"/>
    <row r="10" ht="15.75" customHeight="1">
      <c r="A10" s="46" t="s">
        <v>186</v>
      </c>
      <c r="G10" s="40" t="s">
        <v>144</v>
      </c>
      <c r="H10" s="55">
        <f>B13</f>
        <v>5</v>
      </c>
    </row>
    <row r="11" ht="15.75" customHeight="1">
      <c r="G11" s="32" t="s">
        <v>187</v>
      </c>
    </row>
    <row r="12" ht="15.75" customHeight="1">
      <c r="A12" s="36" t="s">
        <v>188</v>
      </c>
      <c r="B12" s="25"/>
      <c r="C12" s="26"/>
      <c r="D12" s="26"/>
      <c r="E12" s="26"/>
      <c r="F12" s="26"/>
      <c r="G12" s="26"/>
      <c r="H12" s="27"/>
    </row>
    <row r="13" ht="15.75" customHeight="1">
      <c r="A13" s="38" t="s">
        <v>144</v>
      </c>
      <c r="B13" s="37">
        <v>5.0</v>
      </c>
      <c r="C13" s="26"/>
      <c r="D13" s="26"/>
      <c r="E13" s="26"/>
      <c r="F13" s="26"/>
      <c r="G13" s="26"/>
      <c r="H13" s="27"/>
    </row>
    <row r="14" ht="15.75" customHeight="1">
      <c r="A14" s="48" t="s">
        <v>190</v>
      </c>
      <c r="B14" s="26"/>
      <c r="C14" s="26"/>
      <c r="D14" s="26"/>
      <c r="E14" s="26"/>
      <c r="F14" s="26"/>
      <c r="G14" s="26"/>
      <c r="H14" s="27"/>
    </row>
    <row r="15" ht="15.75" customHeight="1">
      <c r="A15" s="66"/>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66"/>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55">
        <f>D46+D47+D48+D49</f>
        <v>60</v>
      </c>
      <c r="I21" s="5"/>
    </row>
    <row r="22" ht="15.75" customHeight="1">
      <c r="G22" s="32" t="s">
        <v>195</v>
      </c>
    </row>
    <row r="23" ht="15.75" customHeight="1">
      <c r="A23" s="36" t="s">
        <v>196</v>
      </c>
      <c r="B23" s="37" t="s">
        <v>234</v>
      </c>
      <c r="C23" s="26"/>
      <c r="D23" s="26"/>
      <c r="E23" s="26"/>
      <c r="F23" s="26"/>
      <c r="G23" s="26"/>
      <c r="H23" s="27"/>
    </row>
    <row r="24" ht="15.75" customHeight="1">
      <c r="A24" s="36" t="s">
        <v>196</v>
      </c>
      <c r="B24" s="37" t="s">
        <v>47</v>
      </c>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3 IA, Datawarehouse y Datamining")</f>
        <v>Unidad 3 IA, Datawarehouse y Datamining</v>
      </c>
      <c r="C28" s="27"/>
      <c r="D28" s="25" t="str">
        <f>IFERROR(__xludf.DUMMYFUNCTION("FILTER('Diseño'!E:E,'Diseño'!H:H=$C$5)"),"Analitica de datos: Datawarehouse")</f>
        <v>Analitica de datos: Datawarehouse</v>
      </c>
      <c r="E28" s="27"/>
      <c r="F28" s="25" t="str">
        <f>IFERROR(__xludf.DUMMYFUNCTION("FILTER('Diseño'!F:F,'Diseño'!H:H=$C$5)"),"Conceptos de analiticas y tipos.")</f>
        <v>Conceptos de analiticas y tipos.</v>
      </c>
      <c r="G28" s="26"/>
      <c r="H28" s="27"/>
    </row>
    <row r="29" ht="15.75" customHeight="1">
      <c r="A29" s="28">
        <v>2.0</v>
      </c>
      <c r="B29" s="25" t="str">
        <f>IFERROR(__xludf.DUMMYFUNCTION("""COMPUTED_VALUE"""),"Unidad 3 IA, Datawarehouse y Datamining")</f>
        <v>Unidad 3 IA, Datawarehouse y Datamining</v>
      </c>
      <c r="C29" s="27"/>
      <c r="D29" s="25" t="str">
        <f>IFERROR(__xludf.DUMMYFUNCTION("""COMPUTED_VALUE"""),"Analitica de datos: Datawarehouse")</f>
        <v>Analitica de datos: Datawarehouse</v>
      </c>
      <c r="E29" s="27"/>
      <c r="F29" s="25" t="str">
        <f>IFERROR(__xludf.DUMMYFUNCTION("""COMPUTED_VALUE"""),"Conceptos de datawarehouse.")</f>
        <v>Conceptos de datawarehouse.</v>
      </c>
      <c r="G29" s="26"/>
      <c r="H29" s="27"/>
    </row>
    <row r="30" ht="15.75" customHeight="1">
      <c r="A30" s="28">
        <v>3.0</v>
      </c>
      <c r="B30" s="25" t="str">
        <f>IFERROR(__xludf.DUMMYFUNCTION("""COMPUTED_VALUE"""),"Unidad 3 IA, Datawarehouse y Datamining")</f>
        <v>Unidad 3 IA, Datawarehouse y Datamining</v>
      </c>
      <c r="C30" s="27"/>
      <c r="D30" s="25" t="str">
        <f>IFERROR(__xludf.DUMMYFUNCTION("""COMPUTED_VALUE"""),"Analitica de datos: Datawarehouse")</f>
        <v>Analitica de datos: Datawarehouse</v>
      </c>
      <c r="E30" s="27"/>
      <c r="F30" s="25" t="str">
        <f>IFERROR(__xludf.DUMMYFUNCTION("""COMPUTED_VALUE"""),"Arquitectura del datawarehouse y su modelo de datos.")</f>
        <v>Arquitectura del datawarehouse y su modelo de datos.</v>
      </c>
      <c r="G30" s="26"/>
      <c r="H30" s="27"/>
    </row>
    <row r="31" ht="15.75" customHeight="1">
      <c r="A31" s="28">
        <v>4.0</v>
      </c>
      <c r="B31" s="25" t="str">
        <f>IFERROR(__xludf.DUMMYFUNCTION("""COMPUTED_VALUE"""),"Unidad 3 IA, Datawarehouse y Datamining")</f>
        <v>Unidad 3 IA, Datawarehouse y Datamining</v>
      </c>
      <c r="C31" s="27"/>
      <c r="D31" s="25" t="str">
        <f>IFERROR(__xludf.DUMMYFUNCTION("""COMPUTED_VALUE"""),"Analitica de datos: Datawarehouse")</f>
        <v>Analitica de datos: Datawarehouse</v>
      </c>
      <c r="E31" s="27"/>
      <c r="F31" s="25" t="str">
        <f>IFERROR(__xludf.DUMMYFUNCTION("""COMPUTED_VALUE"""),"Modelos de datos.")</f>
        <v>Modelos de datos.</v>
      </c>
      <c r="G31" s="26"/>
      <c r="H31" s="27"/>
    </row>
    <row r="32" ht="15.75" customHeight="1">
      <c r="A32" s="28">
        <v>5.0</v>
      </c>
      <c r="B32" s="25" t="str">
        <f>IFERROR(__xludf.DUMMYFUNCTION("""COMPUTED_VALUE"""),"Unidad 3 IA, Datawarehouse y Datamining")</f>
        <v>Unidad 3 IA, Datawarehouse y Datamining</v>
      </c>
      <c r="C32" s="27"/>
      <c r="D32" s="25" t="str">
        <f>IFERROR(__xludf.DUMMYFUNCTION("""COMPUTED_VALUE"""),"Analitica de datos: Datawarehouse")</f>
        <v>Analitica de datos: Datawarehouse</v>
      </c>
      <c r="E32" s="27"/>
      <c r="F32" s="25" t="str">
        <f>IFERROR(__xludf.DUMMYFUNCTION("""COMPUTED_VALUE"""),"Desafios, recursos e implementación.")</f>
        <v>Desafios, recursos e implementación.</v>
      </c>
      <c r="G32" s="26"/>
      <c r="H32" s="27"/>
    </row>
    <row r="33" ht="15.75" customHeight="1">
      <c r="A33" s="28">
        <v>6.0</v>
      </c>
      <c r="B33" s="25" t="str">
        <f>IFERROR(__xludf.DUMMYFUNCTION("""COMPUTED_VALUE"""),"Unidad 3 IA, Datawarehouse y Datamining")</f>
        <v>Unidad 3 IA, Datawarehouse y Datamining</v>
      </c>
      <c r="C33" s="27"/>
      <c r="D33" s="25" t="str">
        <f>IFERROR(__xludf.DUMMYFUNCTION("""COMPUTED_VALUE"""),"Analitica de datos: Datawarehouse")</f>
        <v>Analitica de datos: Datawarehouse</v>
      </c>
      <c r="E33" s="27"/>
      <c r="F33" s="25" t="str">
        <f>IFERROR(__xludf.DUMMYFUNCTION("""COMPUTED_VALUE"""),"Definición del datamining")</f>
        <v>Definición del datamining</v>
      </c>
      <c r="G33" s="26"/>
      <c r="H33" s="27"/>
    </row>
    <row r="34" ht="15.75" customHeight="1">
      <c r="A34" s="28">
        <v>7.0</v>
      </c>
      <c r="B34" s="25" t="str">
        <f>IFERROR(__xludf.DUMMYFUNCTION("""COMPUTED_VALUE"""),"Unidad 3 IA, Datawarehouse y Datamining")</f>
        <v>Unidad 3 IA, Datawarehouse y Datamining</v>
      </c>
      <c r="C34" s="27"/>
      <c r="D34" s="25" t="str">
        <f>IFERROR(__xludf.DUMMYFUNCTION("""COMPUTED_VALUE"""),"Analitica de datos: Datawarehouse")</f>
        <v>Analitica de datos: Datawarehouse</v>
      </c>
      <c r="E34" s="27"/>
      <c r="F34" s="25" t="str">
        <f>IFERROR(__xludf.DUMMYFUNCTION("""COMPUTED_VALUE"""),"Técnicas de datamining.")</f>
        <v>Técnicas de datamining.</v>
      </c>
      <c r="G34" s="26"/>
      <c r="H34" s="27"/>
    </row>
    <row r="35" ht="15.75" customHeight="1">
      <c r="A35" s="5"/>
      <c r="B35" s="5" t="str">
        <f>IFERROR(__xludf.DUMMYFUNCTION("""COMPUTED_VALUE"""),"Unidad 3 IA, Datawarehouse y Datamining")</f>
        <v>Unidad 3 IA, Datawarehouse y Datamining</v>
      </c>
      <c r="C35" s="5"/>
      <c r="D35" s="5" t="str">
        <f>IFERROR(__xludf.DUMMYFUNCTION("""COMPUTED_VALUE"""),"Analitica de datos: Datamining")</f>
        <v>Analitica de datos: Datamining</v>
      </c>
      <c r="E35" s="5"/>
      <c r="F35" s="5" t="str">
        <f>IFERROR(__xludf.DUMMYFUNCTION("""COMPUTED_VALUE"""),"Ejemplos de herramientas populares.")</f>
        <v>Ejemplos de herramientas populares.</v>
      </c>
      <c r="G35" s="5"/>
      <c r="H35" s="5"/>
    </row>
    <row r="36" ht="15.75" customHeight="1">
      <c r="A36" s="5"/>
      <c r="B36" s="5" t="str">
        <f>IFERROR(__xludf.DUMMYFUNCTION("""COMPUTED_VALUE"""),"Unidad 3 IA, Datawarehouse y Datamining")</f>
        <v>Unidad 3 IA, Datawarehouse y Datamining</v>
      </c>
      <c r="C36" s="5"/>
      <c r="D36" s="5" t="str">
        <f>IFERROR(__xludf.DUMMYFUNCTION("""COMPUTED_VALUE"""),"Analitica de datos: Datamining")</f>
        <v>Analitica de datos: Datamining</v>
      </c>
      <c r="E36" s="5"/>
      <c r="F36" s="5" t="str">
        <f>IFERROR(__xludf.DUMMYFUNCTION("""COMPUTED_VALUE"""),"Casos de uso en la industria.")</f>
        <v>Casos de uso en la industria.</v>
      </c>
      <c r="G36" s="5"/>
      <c r="H36" s="5"/>
    </row>
    <row r="37" ht="15.75" customHeight="1">
      <c r="A37" s="5"/>
      <c r="B37" s="5" t="str">
        <f>IFERROR(__xludf.DUMMYFUNCTION("""COMPUTED_VALUE"""),"Unidad 3 IA, Datawarehouse y Datamining")</f>
        <v>Unidad 3 IA, Datawarehouse y Datamining</v>
      </c>
      <c r="C37" s="5"/>
      <c r="D37" s="5" t="str">
        <f>IFERROR(__xludf.DUMMYFUNCTION("""COMPUTED_VALUE"""),"Analitica de datos: Datamining")</f>
        <v>Analitica de datos: Datamining</v>
      </c>
      <c r="E37" s="5"/>
      <c r="F37" s="5" t="str">
        <f>IFERROR(__xludf.DUMMYFUNCTION("""COMPUTED_VALUE"""),"Desafíos éticos y de privacidad.")</f>
        <v>Desafíos éticos y de privacidad.</v>
      </c>
      <c r="G37" s="5"/>
      <c r="H37" s="5"/>
    </row>
    <row r="38" ht="15.75" customHeight="1">
      <c r="A38" s="5"/>
      <c r="B38" s="5" t="str">
        <f>IFERROR(__xludf.DUMMYFUNCTION("""COMPUTED_VALUE"""),"Unidad 3 IA, Datawarehouse y Datamining")</f>
        <v>Unidad 3 IA, Datawarehouse y Datamining</v>
      </c>
      <c r="C38" s="5"/>
      <c r="D38" s="5" t="str">
        <f>IFERROR(__xludf.DUMMYFUNCTION("""COMPUTED_VALUE"""),"Analitica de datos: Datamining")</f>
        <v>Analitica de datos: Datamining</v>
      </c>
      <c r="E38" s="5"/>
      <c r="F38" s="5" t="str">
        <f>IFERROR(__xludf.DUMMYFUNCTION("""COMPUTED_VALUE"""),"Definición y propósito.")</f>
        <v>Definición y propósito.</v>
      </c>
      <c r="G38" s="5"/>
      <c r="H38" s="5"/>
    </row>
    <row r="39" ht="15.75" customHeight="1">
      <c r="A39" s="5"/>
      <c r="B39" s="5" t="str">
        <f>IFERROR(__xludf.DUMMYFUNCTION("""COMPUTED_VALUE"""),"Unidad 3 IA, Datawarehouse y Datamining")</f>
        <v>Unidad 3 IA, Datawarehouse y Datamining</v>
      </c>
      <c r="C39" s="5"/>
      <c r="D39" s="5" t="str">
        <f>IFERROR(__xludf.DUMMYFUNCTION("""COMPUTED_VALUE"""),"Analitica de datos: Datamining")</f>
        <v>Analitica de datos: Datamining</v>
      </c>
      <c r="E39" s="5"/>
      <c r="F39" s="5" t="str">
        <f>IFERROR(__xludf.DUMMYFUNCTION("""COMPUTED_VALUE"""),"Perspectivas del balanced scordcard.")</f>
        <v>Perspectivas del balanced scordcard.</v>
      </c>
      <c r="G39" s="5"/>
      <c r="H39" s="5"/>
    </row>
    <row r="40" ht="15.75" customHeight="1">
      <c r="A40" s="5"/>
      <c r="B40" s="5" t="str">
        <f>IFERROR(__xludf.DUMMYFUNCTION("""COMPUTED_VALUE"""),"Unidad 3 IA, Datawarehouse y Datamining")</f>
        <v>Unidad 3 IA, Datawarehouse y Datamining</v>
      </c>
      <c r="C40" s="5"/>
      <c r="D40" s="5" t="str">
        <f>IFERROR(__xludf.DUMMYFUNCTION("""COMPUTED_VALUE"""),"Analitica de datos: Datamining")</f>
        <v>Analitica de datos: Datamining</v>
      </c>
      <c r="E40" s="5"/>
      <c r="F40" s="5" t="str">
        <f>IFERROR(__xludf.DUMMYFUNCTION("""COMPUTED_VALUE"""),"Desarrollo e implementación.")</f>
        <v>Desarrollo e implementación.</v>
      </c>
      <c r="G40" s="5"/>
      <c r="H40" s="5"/>
    </row>
    <row r="41" ht="15.75" customHeight="1">
      <c r="A41" s="5"/>
      <c r="B41" s="5" t="str">
        <f>IFERROR(__xludf.DUMMYFUNCTION("""COMPUTED_VALUE"""),"Unidad 3 IA, Datawarehouse y Datamining")</f>
        <v>Unidad 3 IA, Datawarehouse y Datamining</v>
      </c>
      <c r="C41" s="5"/>
      <c r="D41" s="5" t="str">
        <f>IFERROR(__xludf.DUMMYFUNCTION("""COMPUTED_VALUE"""),"Analitica de datos: Datamining")</f>
        <v>Analitica de datos: Datamining</v>
      </c>
      <c r="E41" s="5"/>
      <c r="F41" s="5" t="str">
        <f>IFERROR(__xludf.DUMMYFUNCTION("""COMPUTED_VALUE"""),"Integración con business intelligence.")</f>
        <v>Integración con business intelligence.</v>
      </c>
      <c r="G41" s="5"/>
      <c r="H41" s="5"/>
    </row>
    <row r="42" ht="15.75" customHeight="1"/>
    <row r="43" ht="15.75" customHeight="1">
      <c r="A43" s="56" t="s">
        <v>201</v>
      </c>
    </row>
    <row r="44" ht="15.75" customHeight="1">
      <c r="A44" s="5"/>
      <c r="B44" s="5"/>
      <c r="C44" s="5"/>
      <c r="D44" s="5"/>
      <c r="E44" s="5"/>
      <c r="F44" s="5"/>
      <c r="G44" s="5"/>
      <c r="H44" s="5"/>
    </row>
    <row r="45" ht="15.75" customHeight="1">
      <c r="A45" s="57" t="s">
        <v>202</v>
      </c>
      <c r="B45" s="57" t="s">
        <v>203</v>
      </c>
      <c r="C45" s="60" t="s">
        <v>204</v>
      </c>
      <c r="D45" s="61" t="s">
        <v>144</v>
      </c>
      <c r="E45" s="26"/>
      <c r="F45" s="26"/>
      <c r="G45" s="26"/>
      <c r="H45" s="27"/>
    </row>
    <row r="46" ht="15.75" customHeight="1">
      <c r="A46" s="28" t="s">
        <v>205</v>
      </c>
      <c r="B46" s="28" t="s">
        <v>206</v>
      </c>
      <c r="C46" s="28"/>
      <c r="D46" s="37">
        <v>20.0</v>
      </c>
      <c r="E46" s="26"/>
      <c r="F46" s="26"/>
      <c r="G46" s="26"/>
      <c r="H46" s="27"/>
    </row>
    <row r="47" ht="15.75" customHeight="1">
      <c r="A47" s="28" t="s">
        <v>207</v>
      </c>
      <c r="B47" s="28" t="s">
        <v>206</v>
      </c>
      <c r="C47" s="28" t="s">
        <v>208</v>
      </c>
      <c r="D47" s="37">
        <v>10.0</v>
      </c>
      <c r="E47" s="26"/>
      <c r="F47" s="26"/>
      <c r="G47" s="26"/>
      <c r="H47" s="27"/>
    </row>
    <row r="48" ht="15.75" customHeight="1">
      <c r="A48" s="28" t="s">
        <v>209</v>
      </c>
      <c r="B48" s="28" t="s">
        <v>210</v>
      </c>
      <c r="C48" s="28"/>
      <c r="D48" s="25"/>
      <c r="E48" s="26"/>
      <c r="F48" s="26"/>
      <c r="G48" s="26"/>
      <c r="H48" s="27"/>
    </row>
    <row r="49" ht="15.75" customHeight="1">
      <c r="A49" s="28" t="s">
        <v>211</v>
      </c>
      <c r="B49" s="28" t="s">
        <v>206</v>
      </c>
      <c r="C49" s="28"/>
      <c r="D49" s="37">
        <v>30.0</v>
      </c>
      <c r="E49" s="26"/>
      <c r="F49" s="26"/>
      <c r="G49" s="26"/>
      <c r="H49" s="27"/>
    </row>
    <row r="50" ht="15.75" customHeight="1"/>
    <row r="51" ht="15.75" customHeight="1">
      <c r="A51" s="46" t="s">
        <v>212</v>
      </c>
      <c r="G51" s="40" t="s">
        <v>144</v>
      </c>
      <c r="H51" s="47">
        <v>30.0</v>
      </c>
    </row>
    <row r="52" ht="15.75" customHeight="1">
      <c r="G52" s="32" t="s">
        <v>213</v>
      </c>
    </row>
    <row r="53" ht="15.75" customHeight="1">
      <c r="A53" s="32" t="s">
        <v>214</v>
      </c>
    </row>
    <row r="54" ht="15.75" customHeight="1">
      <c r="A54" s="36" t="s">
        <v>215</v>
      </c>
      <c r="B54" s="37" t="s">
        <v>231</v>
      </c>
      <c r="C54" s="26"/>
      <c r="D54" s="26"/>
      <c r="E54" s="26"/>
      <c r="F54" s="26"/>
      <c r="G54" s="26"/>
      <c r="H54" s="27"/>
    </row>
    <row r="55" ht="15.75" customHeight="1">
      <c r="A55" s="36" t="s">
        <v>216</v>
      </c>
      <c r="B55" s="25" t="s">
        <v>235</v>
      </c>
      <c r="C55" s="26"/>
      <c r="D55" s="26"/>
      <c r="E55" s="26"/>
      <c r="F55" s="26"/>
      <c r="G55" s="26"/>
      <c r="H55" s="27"/>
    </row>
    <row r="56" ht="15.75" customHeight="1">
      <c r="A56" s="36" t="s">
        <v>184</v>
      </c>
      <c r="B56" s="62">
        <v>0.0</v>
      </c>
      <c r="C56" s="26"/>
      <c r="D56" s="26"/>
      <c r="E56" s="26"/>
      <c r="F56" s="26"/>
      <c r="G56" s="26"/>
      <c r="H56" s="27"/>
    </row>
    <row r="57" ht="15.75" customHeight="1">
      <c r="A57" s="36" t="s">
        <v>144</v>
      </c>
      <c r="B57" s="37">
        <v>35.0</v>
      </c>
      <c r="C57" s="26"/>
      <c r="D57" s="26"/>
      <c r="E57" s="26"/>
      <c r="F57" s="26"/>
      <c r="G57" s="26"/>
      <c r="H57" s="27"/>
    </row>
    <row r="58" ht="15.75" customHeight="1">
      <c r="A58" s="42" t="s">
        <v>218</v>
      </c>
      <c r="B58" s="5"/>
      <c r="C58" s="5"/>
      <c r="D58" s="5"/>
      <c r="E58" s="5"/>
      <c r="F58" s="5"/>
      <c r="G58" s="5"/>
      <c r="H58" s="5"/>
    </row>
    <row r="59" ht="15.75" customHeight="1">
      <c r="A59" s="48" t="s">
        <v>219</v>
      </c>
      <c r="B59" s="26"/>
      <c r="C59" s="26"/>
      <c r="D59" s="26"/>
      <c r="E59" s="26"/>
      <c r="F59" s="26"/>
      <c r="G59" s="26"/>
      <c r="H59" s="27"/>
    </row>
    <row r="60" ht="15.75" customHeight="1">
      <c r="A60" s="49" t="s">
        <v>236</v>
      </c>
      <c r="B60" s="50"/>
      <c r="C60" s="50"/>
      <c r="D60" s="50"/>
      <c r="E60" s="50"/>
      <c r="F60" s="50"/>
      <c r="G60" s="50"/>
      <c r="H60" s="51"/>
    </row>
    <row r="61" ht="15.75" customHeight="1">
      <c r="A61" s="63"/>
      <c r="H61" s="64"/>
    </row>
    <row r="62" ht="15.75" customHeight="1">
      <c r="A62" s="52"/>
      <c r="B62" s="53"/>
      <c r="C62" s="53"/>
      <c r="D62" s="53"/>
      <c r="E62" s="53"/>
      <c r="F62" s="53"/>
      <c r="G62" s="53"/>
      <c r="H62" s="54"/>
    </row>
    <row r="63" ht="15.75" customHeight="1"/>
    <row r="64" ht="15.75" customHeight="1">
      <c r="A64" s="32" t="s">
        <v>221</v>
      </c>
    </row>
    <row r="65" ht="15.75" customHeight="1">
      <c r="A65" s="36" t="s">
        <v>215</v>
      </c>
      <c r="B65" s="25"/>
      <c r="C65" s="26"/>
      <c r="D65" s="26"/>
      <c r="E65" s="26"/>
      <c r="F65" s="26"/>
      <c r="G65" s="26"/>
      <c r="H65" s="27"/>
    </row>
    <row r="66" ht="15.75" customHeight="1">
      <c r="A66" s="36" t="s">
        <v>216</v>
      </c>
      <c r="B66" s="25"/>
      <c r="C66" s="26"/>
      <c r="D66" s="26"/>
      <c r="E66" s="26"/>
      <c r="F66" s="26"/>
      <c r="G66" s="26"/>
      <c r="H66" s="27"/>
    </row>
    <row r="67" ht="15.75" customHeight="1">
      <c r="A67" s="36" t="s">
        <v>184</v>
      </c>
      <c r="B67" s="62"/>
      <c r="C67" s="26"/>
      <c r="D67" s="26"/>
      <c r="E67" s="26"/>
      <c r="F67" s="26"/>
      <c r="G67" s="26"/>
      <c r="H67" s="27"/>
    </row>
    <row r="68" ht="15.75" customHeight="1">
      <c r="A68" s="36" t="s">
        <v>144</v>
      </c>
      <c r="B68" s="62"/>
      <c r="C68" s="26"/>
      <c r="D68" s="26"/>
      <c r="E68" s="26"/>
      <c r="F68" s="26"/>
      <c r="G68" s="26"/>
      <c r="H68" s="27"/>
    </row>
    <row r="69" ht="15.75" customHeight="1">
      <c r="A69" s="65" t="s">
        <v>222</v>
      </c>
      <c r="B69" s="5"/>
      <c r="C69" s="5"/>
      <c r="D69" s="5"/>
      <c r="E69" s="5"/>
      <c r="F69" s="5"/>
      <c r="G69" s="5"/>
      <c r="H69" s="5"/>
    </row>
    <row r="70" ht="15.75" customHeight="1">
      <c r="A70" s="48" t="s">
        <v>219</v>
      </c>
      <c r="B70" s="26"/>
      <c r="C70" s="26"/>
      <c r="D70" s="26"/>
      <c r="E70" s="26"/>
      <c r="F70" s="26"/>
      <c r="G70" s="26"/>
      <c r="H70" s="27"/>
    </row>
    <row r="71" ht="15.75" customHeight="1">
      <c r="A71" s="66"/>
      <c r="B71" s="50"/>
      <c r="C71" s="50"/>
      <c r="D71" s="50"/>
      <c r="E71" s="50"/>
      <c r="F71" s="50"/>
      <c r="G71" s="50"/>
      <c r="H71" s="51"/>
    </row>
    <row r="72" ht="15.75" customHeight="1">
      <c r="A72" s="63"/>
      <c r="H72" s="64"/>
    </row>
    <row r="73" ht="15.75" customHeight="1">
      <c r="A73" s="52"/>
      <c r="B73" s="53"/>
      <c r="C73" s="53"/>
      <c r="D73" s="53"/>
      <c r="E73" s="53"/>
      <c r="F73" s="53"/>
      <c r="G73" s="53"/>
      <c r="H73" s="54"/>
    </row>
    <row r="74" ht="15.75" customHeight="1"/>
    <row r="75" ht="15.75" customHeight="1">
      <c r="A75" s="46" t="s">
        <v>223</v>
      </c>
      <c r="G75" s="40" t="s">
        <v>144</v>
      </c>
      <c r="H75" s="47">
        <v>5.0</v>
      </c>
    </row>
    <row r="76" ht="15.75" customHeight="1">
      <c r="G76" s="32" t="s">
        <v>224</v>
      </c>
    </row>
    <row r="77" ht="15.75" customHeight="1">
      <c r="A77" s="36" t="s">
        <v>144</v>
      </c>
      <c r="B77" s="67">
        <v>5.0</v>
      </c>
      <c r="C77" s="26"/>
      <c r="D77" s="26"/>
      <c r="E77" s="26"/>
      <c r="F77" s="26"/>
      <c r="G77" s="26"/>
      <c r="H77" s="27"/>
    </row>
    <row r="78" ht="15.75" customHeight="1">
      <c r="A78" s="61" t="s">
        <v>225</v>
      </c>
      <c r="B78" s="26"/>
      <c r="C78" s="26"/>
      <c r="D78" s="26"/>
      <c r="E78" s="26"/>
      <c r="F78" s="26"/>
      <c r="G78" s="26"/>
      <c r="H78" s="27"/>
    </row>
    <row r="79" ht="15.75" customHeight="1">
      <c r="A79" s="49" t="s">
        <v>237</v>
      </c>
      <c r="B79" s="50"/>
      <c r="C79" s="50"/>
      <c r="D79" s="50"/>
      <c r="E79" s="50"/>
      <c r="F79" s="50"/>
      <c r="G79" s="50"/>
      <c r="H79" s="51"/>
    </row>
    <row r="80" ht="15.75" customHeight="1">
      <c r="A80" s="52"/>
      <c r="B80" s="53"/>
      <c r="C80" s="53"/>
      <c r="D80" s="53"/>
      <c r="E80" s="53"/>
      <c r="F80" s="53"/>
      <c r="G80" s="53"/>
      <c r="H80" s="54"/>
    </row>
    <row r="81" ht="15.75" customHeight="1">
      <c r="A81" s="32" t="s">
        <v>227</v>
      </c>
    </row>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mergeCells count="61">
    <mergeCell ref="A51:F51"/>
    <mergeCell ref="B54:H54"/>
    <mergeCell ref="B55:H55"/>
    <mergeCell ref="B56:H56"/>
    <mergeCell ref="B57:H57"/>
    <mergeCell ref="A59:H59"/>
    <mergeCell ref="A60:H62"/>
    <mergeCell ref="B77:H77"/>
    <mergeCell ref="A78:H78"/>
    <mergeCell ref="A79:H80"/>
    <mergeCell ref="B65:H65"/>
    <mergeCell ref="B66:H66"/>
    <mergeCell ref="B67:H67"/>
    <mergeCell ref="B68:H68"/>
    <mergeCell ref="A70:H70"/>
    <mergeCell ref="A71:H73"/>
    <mergeCell ref="A75:F75"/>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45:H45"/>
    <mergeCell ref="D46:H46"/>
    <mergeCell ref="D47:H47"/>
    <mergeCell ref="D48:H48"/>
    <mergeCell ref="D49:H49"/>
  </mergeCells>
  <dataValidations>
    <dataValidation type="list" allowBlank="1" showErrorMessage="1" sqref="B23:B24 B54 B65">
      <formula1>METADATA!$I$17:$I$40</formula1>
    </dataValidation>
    <dataValidation type="list" allowBlank="1" showErrorMessage="1" sqref="B55">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58.63"/>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5.0</v>
      </c>
      <c r="D5" s="26"/>
      <c r="E5" s="26"/>
      <c r="F5" s="26"/>
      <c r="G5" s="27"/>
    </row>
    <row r="6" ht="15.75" customHeight="1">
      <c r="B6" s="45" t="s">
        <v>142</v>
      </c>
      <c r="C6" s="25">
        <f>H10+H21+H44+H68</f>
        <v>100</v>
      </c>
      <c r="D6" s="26"/>
      <c r="E6" s="26"/>
      <c r="F6" s="26"/>
      <c r="G6" s="27"/>
      <c r="I6" s="5"/>
    </row>
    <row r="7" ht="15.75" customHeight="1">
      <c r="B7" s="45" t="s">
        <v>184</v>
      </c>
      <c r="C7" s="25">
        <f>B49+B60</f>
        <v>0</v>
      </c>
      <c r="D7" s="26"/>
      <c r="E7" s="26"/>
      <c r="F7" s="26"/>
      <c r="G7" s="27"/>
    </row>
    <row r="8" ht="15.75" customHeight="1">
      <c r="B8" s="45" t="s">
        <v>185</v>
      </c>
      <c r="C8" s="25"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6"/>
      <c r="E8" s="26"/>
      <c r="F8" s="26"/>
      <c r="G8" s="27"/>
      <c r="I8" s="5"/>
      <c r="J8" s="5"/>
      <c r="K8" s="5"/>
    </row>
    <row r="9" ht="15.75" customHeight="1"/>
    <row r="10" ht="15.75" customHeight="1">
      <c r="A10" s="46" t="s">
        <v>186</v>
      </c>
      <c r="G10" s="40" t="s">
        <v>144</v>
      </c>
      <c r="H10" s="55">
        <f>B13</f>
        <v>5</v>
      </c>
    </row>
    <row r="11" ht="15.75" customHeight="1">
      <c r="G11" s="32" t="s">
        <v>187</v>
      </c>
    </row>
    <row r="12" ht="15.75" customHeight="1">
      <c r="A12" s="36" t="s">
        <v>188</v>
      </c>
      <c r="B12" s="37" t="s">
        <v>238</v>
      </c>
      <c r="C12" s="26"/>
      <c r="D12" s="26"/>
      <c r="E12" s="26"/>
      <c r="F12" s="26"/>
      <c r="G12" s="26"/>
      <c r="H12" s="27"/>
    </row>
    <row r="13" ht="15.75" customHeight="1">
      <c r="A13" s="38" t="s">
        <v>144</v>
      </c>
      <c r="B13" s="37">
        <v>5.0</v>
      </c>
      <c r="C13" s="26"/>
      <c r="D13" s="26"/>
      <c r="E13" s="26"/>
      <c r="F13" s="26"/>
      <c r="G13" s="26"/>
      <c r="H13" s="27"/>
    </row>
    <row r="14" ht="15.75" customHeight="1">
      <c r="A14" s="48" t="s">
        <v>190</v>
      </c>
      <c r="B14" s="26"/>
      <c r="C14" s="26"/>
      <c r="D14" s="26"/>
      <c r="E14" s="26"/>
      <c r="F14" s="26"/>
      <c r="G14" s="26"/>
      <c r="H14" s="27"/>
    </row>
    <row r="15" ht="15.75" customHeight="1">
      <c r="A15" s="49" t="s">
        <v>239</v>
      </c>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49" t="s">
        <v>240</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55">
        <f>D39+D40+D41+D42</f>
        <v>60</v>
      </c>
      <c r="I21" s="5"/>
    </row>
    <row r="22" ht="15.75" customHeight="1">
      <c r="G22" s="32" t="s">
        <v>195</v>
      </c>
    </row>
    <row r="23" ht="15.75" customHeight="1">
      <c r="A23" s="36" t="s">
        <v>196</v>
      </c>
      <c r="B23" s="37" t="s">
        <v>241</v>
      </c>
      <c r="C23" s="26"/>
      <c r="D23" s="26"/>
      <c r="E23" s="26"/>
      <c r="F23" s="26"/>
      <c r="G23" s="26"/>
      <c r="H23" s="27"/>
    </row>
    <row r="24" ht="15.75" customHeight="1">
      <c r="A24" s="36" t="s">
        <v>196</v>
      </c>
      <c r="B24" s="37" t="s">
        <v>12</v>
      </c>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3 IA, Datawarehouse y Datamining")</f>
        <v>Unidad 3 IA, Datawarehouse y Datamining</v>
      </c>
      <c r="C28" s="27"/>
      <c r="D28" s="25" t="str">
        <f>IFERROR(__xludf.DUMMYFUNCTION("FILTER('Diseño'!E:E,'Diseño'!H:H=$C$5)"),"Analítica de datos: Clasificación de archivos BSC y herramientas de visualización.")</f>
        <v>Analítica de datos: Clasificación de archivos BSC y herramientas de visualización.</v>
      </c>
      <c r="E28" s="27"/>
      <c r="F28" s="25" t="str">
        <f>IFERROR(__xludf.DUMMYFUNCTION("FILTER('Diseño'!F:F,'Diseño'!H:H=$C$5)"),"Medición del rendimiento.")</f>
        <v>Medición del rendimiento.</v>
      </c>
      <c r="G28" s="26"/>
      <c r="H28" s="27"/>
    </row>
    <row r="29" ht="15.75" customHeight="1">
      <c r="A29" s="28">
        <v>2.0</v>
      </c>
      <c r="B29" s="25" t="str">
        <f>IFERROR(__xludf.DUMMYFUNCTION("""COMPUTED_VALUE"""),"Unidad 3 IA, Datawarehouse y Datamining")</f>
        <v>Unidad 3 IA, Datawarehouse y Datamining</v>
      </c>
      <c r="C29" s="27"/>
      <c r="D29" s="25" t="str">
        <f>IFERROR(__xludf.DUMMYFUNCTION("""COMPUTED_VALUE"""),"Analítica de datos: Clasificación de archivos BSC y herramientas de visualización.")</f>
        <v>Analítica de datos: Clasificación de archivos BSC y herramientas de visualización.</v>
      </c>
      <c r="E29" s="27"/>
      <c r="F29" s="25" t="str">
        <f>IFERROR(__xludf.DUMMYFUNCTION("""COMPUTED_VALUE"""),"Importancia de la visualización de datos.")</f>
        <v>Importancia de la visualización de datos.</v>
      </c>
      <c r="G29" s="26"/>
      <c r="H29" s="27"/>
    </row>
    <row r="30" ht="15.75" customHeight="1">
      <c r="A30" s="28">
        <v>3.0</v>
      </c>
      <c r="B30" s="25" t="str">
        <f>IFERROR(__xludf.DUMMYFUNCTION("""COMPUTED_VALUE"""),"Unidad 3 IA, Datawarehouse y Datamining")</f>
        <v>Unidad 3 IA, Datawarehouse y Datamining</v>
      </c>
      <c r="C30" s="27"/>
      <c r="D30" s="25" t="str">
        <f>IFERROR(__xludf.DUMMYFUNCTION("""COMPUTED_VALUE"""),"Analítica de datos: Clasificación de archivos BSC y herramientas de visualización.")</f>
        <v>Analítica de datos: Clasificación de archivos BSC y herramientas de visualización.</v>
      </c>
      <c r="E30" s="27"/>
      <c r="F30" s="25" t="str">
        <f>IFERROR(__xludf.DUMMYFUNCTION("""COMPUTED_VALUE"""),"Conceptos y definición de herramientas BI.")</f>
        <v>Conceptos y definición de herramientas BI.</v>
      </c>
      <c r="G30" s="26"/>
      <c r="H30" s="27"/>
    </row>
    <row r="31" ht="15.75" customHeight="1">
      <c r="A31" s="28">
        <v>4.0</v>
      </c>
      <c r="B31" s="25" t="str">
        <f>IFERROR(__xludf.DUMMYFUNCTION("""COMPUTED_VALUE"""),"Unidad 3 IA, Datawarehouse y Datamining")</f>
        <v>Unidad 3 IA, Datawarehouse y Datamining</v>
      </c>
      <c r="C31" s="27"/>
      <c r="D31" s="25" t="str">
        <f>IFERROR(__xludf.DUMMYFUNCTION("""COMPUTED_VALUE"""),"Analítica de datos: Clasificación de archivos BSC y herramientas de visualización.")</f>
        <v>Analítica de datos: Clasificación de archivos BSC y herramientas de visualización.</v>
      </c>
      <c r="E31" s="27"/>
      <c r="F31" s="25" t="str">
        <f>IFERROR(__xludf.DUMMYFUNCTION("""COMPUTED_VALUE"""),"Componentes de las herramientas BI.")</f>
        <v>Componentes de las herramientas BI.</v>
      </c>
      <c r="G31" s="26"/>
      <c r="H31" s="27"/>
    </row>
    <row r="32" ht="15.75" customHeight="1">
      <c r="A32" s="28">
        <v>5.0</v>
      </c>
      <c r="B32" s="25" t="str">
        <f>IFERROR(__xludf.DUMMYFUNCTION("""COMPUTED_VALUE"""),"Unidad 3 IA, Datawarehouse y Datamining")</f>
        <v>Unidad 3 IA, Datawarehouse y Datamining</v>
      </c>
      <c r="C32" s="27"/>
      <c r="D32" s="25" t="str">
        <f>IFERROR(__xludf.DUMMYFUNCTION("""COMPUTED_VALUE"""),"Analítica de datos: Clasificación de archivos BSC y herramientas de visualización.")</f>
        <v>Analítica de datos: Clasificación de archivos BSC y herramientas de visualización.</v>
      </c>
      <c r="E32" s="27"/>
      <c r="F32" s="25" t="str">
        <f>IFERROR(__xludf.DUMMYFUNCTION("""COMPUTED_VALUE"""),"Ciclo de vida de las herramientas BI.")</f>
        <v>Ciclo de vida de las herramientas BI.</v>
      </c>
      <c r="G32" s="26"/>
      <c r="H32" s="27"/>
    </row>
    <row r="33" ht="15.75" customHeight="1">
      <c r="A33" s="28">
        <v>6.0</v>
      </c>
      <c r="B33" s="25" t="str">
        <f>IFERROR(__xludf.DUMMYFUNCTION("""COMPUTED_VALUE"""),"Unidad 3 IA, Datawarehouse y Datamining")</f>
        <v>Unidad 3 IA, Datawarehouse y Datamining</v>
      </c>
      <c r="C33" s="27"/>
      <c r="D33" s="25" t="str">
        <f>IFERROR(__xludf.DUMMYFUNCTION("""COMPUTED_VALUE"""),"Analítica de datos: Clasificación de archivos BSC y herramientas de visualización.")</f>
        <v>Analítica de datos: Clasificación de archivos BSC y herramientas de visualización.</v>
      </c>
      <c r="E33" s="27"/>
      <c r="F33" s="25" t="str">
        <f>IFERROR(__xludf.DUMMYFUNCTION("""COMPUTED_VALUE"""),"Impacto en la estratégica empresarial.")</f>
        <v>Impacto en la estratégica empresarial.</v>
      </c>
      <c r="G33" s="26"/>
      <c r="H33" s="27"/>
    </row>
    <row r="34" ht="15.75" customHeight="1">
      <c r="A34" s="28">
        <v>7.0</v>
      </c>
      <c r="B34" s="25" t="str">
        <f>IFERROR(__xludf.DUMMYFUNCTION("""COMPUTED_VALUE"""),"Unidad 3 IA, Datawarehouse y Datamining")</f>
        <v>Unidad 3 IA, Datawarehouse y Datamining</v>
      </c>
      <c r="C34" s="27"/>
      <c r="D34" s="25" t="str">
        <f>IFERROR(__xludf.DUMMYFUNCTION("""COMPUTED_VALUE"""),"Analítica de datos: Clasificación de archivos BSC y herramientas de visualización.")</f>
        <v>Analítica de datos: Clasificación de archivos BSC y herramientas de visualización.</v>
      </c>
      <c r="E34" s="27"/>
      <c r="F34" s="25" t="str">
        <f>IFERROR(__xludf.DUMMYFUNCTION("""COMPUTED_VALUE"""),"Tipos de visualizaciones.")</f>
        <v>Tipos de visualizaciones.</v>
      </c>
      <c r="G34" s="26"/>
      <c r="H34" s="27"/>
    </row>
    <row r="35" ht="15.75" customHeight="1"/>
    <row r="36" ht="15.75" customHeight="1">
      <c r="A36" s="56" t="s">
        <v>201</v>
      </c>
    </row>
    <row r="37" ht="15.75" customHeight="1">
      <c r="A37" s="5"/>
      <c r="B37" s="5"/>
      <c r="C37" s="5"/>
      <c r="D37" s="5"/>
      <c r="E37" s="5"/>
      <c r="F37" s="5"/>
      <c r="G37" s="5"/>
      <c r="H37" s="5"/>
    </row>
    <row r="38" ht="15.75" customHeight="1">
      <c r="A38" s="57" t="s">
        <v>202</v>
      </c>
      <c r="B38" s="57" t="s">
        <v>203</v>
      </c>
      <c r="C38" s="60" t="s">
        <v>204</v>
      </c>
      <c r="D38" s="61" t="s">
        <v>144</v>
      </c>
      <c r="E38" s="26"/>
      <c r="F38" s="26"/>
      <c r="G38" s="26"/>
      <c r="H38" s="27"/>
    </row>
    <row r="39" ht="15.75" customHeight="1">
      <c r="A39" s="28" t="s">
        <v>205</v>
      </c>
      <c r="B39" s="28" t="s">
        <v>206</v>
      </c>
      <c r="C39" s="28"/>
      <c r="D39" s="37">
        <v>20.0</v>
      </c>
      <c r="E39" s="26"/>
      <c r="F39" s="26"/>
      <c r="G39" s="26"/>
      <c r="H39" s="27"/>
    </row>
    <row r="40" ht="15.75" customHeight="1">
      <c r="A40" s="28" t="s">
        <v>207</v>
      </c>
      <c r="B40" s="28" t="s">
        <v>206</v>
      </c>
      <c r="C40" s="28" t="s">
        <v>208</v>
      </c>
      <c r="D40" s="37">
        <v>10.0</v>
      </c>
      <c r="E40" s="26"/>
      <c r="F40" s="26"/>
      <c r="G40" s="26"/>
      <c r="H40" s="27"/>
    </row>
    <row r="41" ht="15.75" customHeight="1">
      <c r="A41" s="28" t="s">
        <v>209</v>
      </c>
      <c r="B41" s="28" t="s">
        <v>210</v>
      </c>
      <c r="C41" s="28"/>
      <c r="D41" s="37">
        <v>20.0</v>
      </c>
      <c r="E41" s="26"/>
      <c r="F41" s="26"/>
      <c r="G41" s="26"/>
      <c r="H41" s="27"/>
    </row>
    <row r="42" ht="15.75" customHeight="1">
      <c r="A42" s="28" t="s">
        <v>211</v>
      </c>
      <c r="B42" s="28" t="s">
        <v>206</v>
      </c>
      <c r="C42" s="28"/>
      <c r="D42" s="37">
        <v>10.0</v>
      </c>
      <c r="E42" s="26"/>
      <c r="F42" s="26"/>
      <c r="G42" s="26"/>
      <c r="H42" s="27"/>
    </row>
    <row r="43" ht="15.75" customHeight="1"/>
    <row r="44" ht="15.75" customHeight="1">
      <c r="A44" s="46" t="s">
        <v>212</v>
      </c>
      <c r="G44" s="40" t="s">
        <v>144</v>
      </c>
      <c r="H44" s="47">
        <v>30.0</v>
      </c>
    </row>
    <row r="45" ht="15.75" customHeight="1">
      <c r="G45" s="32" t="s">
        <v>213</v>
      </c>
    </row>
    <row r="46" ht="15.75" customHeight="1">
      <c r="A46" s="32" t="s">
        <v>214</v>
      </c>
    </row>
    <row r="47" ht="15.75" customHeight="1">
      <c r="A47" s="36" t="s">
        <v>215</v>
      </c>
      <c r="B47" s="25" t="s">
        <v>242</v>
      </c>
      <c r="C47" s="26"/>
      <c r="D47" s="26"/>
      <c r="E47" s="26"/>
      <c r="F47" s="26"/>
      <c r="G47" s="26"/>
      <c r="H47" s="27"/>
    </row>
    <row r="48" ht="15.75" customHeight="1">
      <c r="A48" s="36" t="s">
        <v>216</v>
      </c>
      <c r="B48" s="25" t="s">
        <v>235</v>
      </c>
      <c r="C48" s="26"/>
      <c r="D48" s="26"/>
      <c r="E48" s="26"/>
      <c r="F48" s="26"/>
      <c r="G48" s="26"/>
      <c r="H48" s="27"/>
    </row>
    <row r="49" ht="15.75" customHeight="1">
      <c r="A49" s="36" t="s">
        <v>184</v>
      </c>
      <c r="B49" s="62">
        <v>0.0</v>
      </c>
      <c r="C49" s="26"/>
      <c r="D49" s="26"/>
      <c r="E49" s="26"/>
      <c r="F49" s="26"/>
      <c r="G49" s="26"/>
      <c r="H49" s="27"/>
    </row>
    <row r="50" ht="15.75" customHeight="1">
      <c r="A50" s="36" t="s">
        <v>144</v>
      </c>
      <c r="B50" s="37">
        <v>35.0</v>
      </c>
      <c r="C50" s="26"/>
      <c r="D50" s="26"/>
      <c r="E50" s="26"/>
      <c r="F50" s="26"/>
      <c r="G50" s="26"/>
      <c r="H50" s="27"/>
    </row>
    <row r="51" ht="15.75" customHeight="1">
      <c r="A51" s="42" t="s">
        <v>218</v>
      </c>
      <c r="B51" s="5"/>
      <c r="C51" s="5"/>
      <c r="D51" s="5"/>
      <c r="E51" s="5"/>
      <c r="F51" s="5"/>
      <c r="G51" s="5"/>
      <c r="H51" s="5"/>
    </row>
    <row r="52" ht="15.75" customHeight="1">
      <c r="A52" s="48" t="s">
        <v>219</v>
      </c>
      <c r="B52" s="26"/>
      <c r="C52" s="26"/>
      <c r="D52" s="26"/>
      <c r="E52" s="26"/>
      <c r="F52" s="26"/>
      <c r="G52" s="26"/>
      <c r="H52" s="27"/>
    </row>
    <row r="53" ht="15.75" customHeight="1">
      <c r="A53" s="49" t="s">
        <v>243</v>
      </c>
      <c r="B53" s="50"/>
      <c r="C53" s="50"/>
      <c r="D53" s="50"/>
      <c r="E53" s="50"/>
      <c r="F53" s="50"/>
      <c r="G53" s="50"/>
      <c r="H53" s="51"/>
    </row>
    <row r="54" ht="15.75" customHeight="1">
      <c r="A54" s="63"/>
      <c r="H54" s="64"/>
    </row>
    <row r="55" ht="15.75" customHeight="1">
      <c r="A55" s="52"/>
      <c r="B55" s="53"/>
      <c r="C55" s="53"/>
      <c r="D55" s="53"/>
      <c r="E55" s="53"/>
      <c r="F55" s="53"/>
      <c r="G55" s="53"/>
      <c r="H55" s="54"/>
    </row>
    <row r="56" ht="15.75" customHeight="1"/>
    <row r="57" ht="15.75" customHeight="1">
      <c r="A57" s="32" t="s">
        <v>221</v>
      </c>
    </row>
    <row r="58" ht="15.75" customHeight="1">
      <c r="A58" s="36" t="s">
        <v>215</v>
      </c>
      <c r="B58" s="25"/>
      <c r="C58" s="26"/>
      <c r="D58" s="26"/>
      <c r="E58" s="26"/>
      <c r="F58" s="26"/>
      <c r="G58" s="26"/>
      <c r="H58" s="27"/>
    </row>
    <row r="59" ht="15.75" customHeight="1">
      <c r="A59" s="36" t="s">
        <v>216</v>
      </c>
      <c r="B59" s="25"/>
      <c r="C59" s="26"/>
      <c r="D59" s="26"/>
      <c r="E59" s="26"/>
      <c r="F59" s="26"/>
      <c r="G59" s="26"/>
      <c r="H59" s="27"/>
    </row>
    <row r="60" ht="15.75" customHeight="1">
      <c r="A60" s="36" t="s">
        <v>184</v>
      </c>
      <c r="B60" s="62"/>
      <c r="C60" s="26"/>
      <c r="D60" s="26"/>
      <c r="E60" s="26"/>
      <c r="F60" s="26"/>
      <c r="G60" s="26"/>
      <c r="H60" s="27"/>
    </row>
    <row r="61" ht="15.75" customHeight="1">
      <c r="A61" s="36" t="s">
        <v>144</v>
      </c>
      <c r="B61" s="62"/>
      <c r="C61" s="26"/>
      <c r="D61" s="26"/>
      <c r="E61" s="26"/>
      <c r="F61" s="26"/>
      <c r="G61" s="26"/>
      <c r="H61" s="27"/>
    </row>
    <row r="62" ht="15.75" customHeight="1">
      <c r="A62" s="65" t="s">
        <v>222</v>
      </c>
      <c r="B62" s="5"/>
      <c r="C62" s="5"/>
      <c r="D62" s="5"/>
      <c r="E62" s="5"/>
      <c r="F62" s="5"/>
      <c r="G62" s="5"/>
      <c r="H62" s="5"/>
    </row>
    <row r="63" ht="15.75" customHeight="1">
      <c r="A63" s="48" t="s">
        <v>219</v>
      </c>
      <c r="B63" s="26"/>
      <c r="C63" s="26"/>
      <c r="D63" s="26"/>
      <c r="E63" s="26"/>
      <c r="F63" s="26"/>
      <c r="G63" s="26"/>
      <c r="H63" s="27"/>
    </row>
    <row r="64" ht="15.75" customHeight="1">
      <c r="A64" s="66"/>
      <c r="B64" s="50"/>
      <c r="C64" s="50"/>
      <c r="D64" s="50"/>
      <c r="E64" s="50"/>
      <c r="F64" s="50"/>
      <c r="G64" s="50"/>
      <c r="H64" s="51"/>
    </row>
    <row r="65" ht="15.75" customHeight="1">
      <c r="A65" s="63"/>
      <c r="H65" s="64"/>
    </row>
    <row r="66" ht="15.75" customHeight="1">
      <c r="A66" s="52"/>
      <c r="B66" s="53"/>
      <c r="C66" s="53"/>
      <c r="D66" s="53"/>
      <c r="E66" s="53"/>
      <c r="F66" s="53"/>
      <c r="G66" s="53"/>
      <c r="H66" s="54"/>
    </row>
    <row r="67" ht="15.75" customHeight="1"/>
    <row r="68" ht="15.75" customHeight="1">
      <c r="A68" s="46" t="s">
        <v>223</v>
      </c>
      <c r="G68" s="40" t="s">
        <v>144</v>
      </c>
      <c r="H68" s="47">
        <v>5.0</v>
      </c>
    </row>
    <row r="69" ht="15.75" customHeight="1">
      <c r="G69" s="32" t="s">
        <v>224</v>
      </c>
    </row>
    <row r="70" ht="15.75" customHeight="1">
      <c r="A70" s="36" t="s">
        <v>144</v>
      </c>
      <c r="B70" s="67">
        <v>5.0</v>
      </c>
      <c r="C70" s="26"/>
      <c r="D70" s="26"/>
      <c r="E70" s="26"/>
      <c r="F70" s="26"/>
      <c r="G70" s="26"/>
      <c r="H70" s="27"/>
    </row>
    <row r="71" ht="15.75" customHeight="1">
      <c r="A71" s="61" t="s">
        <v>225</v>
      </c>
      <c r="B71" s="26"/>
      <c r="C71" s="26"/>
      <c r="D71" s="26"/>
      <c r="E71" s="26"/>
      <c r="F71" s="26"/>
      <c r="G71" s="26"/>
      <c r="H71" s="27"/>
    </row>
    <row r="72" ht="15.75" customHeight="1">
      <c r="A72" s="49" t="s">
        <v>244</v>
      </c>
      <c r="B72" s="50"/>
      <c r="C72" s="50"/>
      <c r="D72" s="50"/>
      <c r="E72" s="50"/>
      <c r="F72" s="50"/>
      <c r="G72" s="50"/>
      <c r="H72" s="51"/>
    </row>
    <row r="73" ht="15.75" customHeight="1">
      <c r="A73" s="52"/>
      <c r="B73" s="53"/>
      <c r="C73" s="53"/>
      <c r="D73" s="53"/>
      <c r="E73" s="53"/>
      <c r="F73" s="53"/>
      <c r="G73" s="53"/>
      <c r="H73" s="54"/>
    </row>
    <row r="74" ht="15.75" customHeight="1">
      <c r="A74" s="32"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6.0</v>
      </c>
      <c r="D5" s="26"/>
      <c r="E5" s="26"/>
      <c r="F5" s="26"/>
      <c r="G5" s="27"/>
    </row>
    <row r="6" ht="15.75" customHeight="1">
      <c r="B6" s="45" t="s">
        <v>142</v>
      </c>
      <c r="C6" s="25">
        <f>H10+H21+H44+H68</f>
        <v>100</v>
      </c>
      <c r="D6" s="26"/>
      <c r="E6" s="26"/>
      <c r="F6" s="26"/>
      <c r="G6" s="27"/>
      <c r="I6" s="5"/>
    </row>
    <row r="7" ht="15.75" customHeight="1">
      <c r="B7" s="45" t="s">
        <v>184</v>
      </c>
      <c r="C7" s="25">
        <f>B49+B60</f>
        <v>0</v>
      </c>
      <c r="D7" s="26"/>
      <c r="E7" s="26"/>
      <c r="F7" s="26"/>
      <c r="G7" s="27"/>
    </row>
    <row r="8" ht="15.75" customHeight="1">
      <c r="B8" s="45" t="s">
        <v>185</v>
      </c>
      <c r="C8" s="25"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6"/>
      <c r="E8" s="26"/>
      <c r="F8" s="26"/>
      <c r="G8" s="27"/>
      <c r="I8" s="5"/>
      <c r="J8" s="5"/>
      <c r="K8" s="5"/>
    </row>
    <row r="9" ht="15.75" customHeight="1"/>
    <row r="10" ht="15.75" customHeight="1">
      <c r="A10" s="46" t="s">
        <v>186</v>
      </c>
      <c r="G10" s="40" t="s">
        <v>144</v>
      </c>
      <c r="H10" s="55">
        <f>B13</f>
        <v>5</v>
      </c>
    </row>
    <row r="11" ht="15.75" customHeight="1">
      <c r="G11" s="32" t="s">
        <v>187</v>
      </c>
    </row>
    <row r="12" ht="15.75" customHeight="1">
      <c r="A12" s="36" t="s">
        <v>188</v>
      </c>
      <c r="B12" s="37" t="s">
        <v>245</v>
      </c>
      <c r="C12" s="26"/>
      <c r="D12" s="26"/>
      <c r="E12" s="26"/>
      <c r="F12" s="26"/>
      <c r="G12" s="26"/>
      <c r="H12" s="27"/>
    </row>
    <row r="13" ht="15.75" customHeight="1">
      <c r="A13" s="38" t="s">
        <v>144</v>
      </c>
      <c r="B13" s="37">
        <v>5.0</v>
      </c>
      <c r="C13" s="26"/>
      <c r="D13" s="26"/>
      <c r="E13" s="26"/>
      <c r="F13" s="26"/>
      <c r="G13" s="26"/>
      <c r="H13" s="27"/>
    </row>
    <row r="14" ht="15.75" customHeight="1">
      <c r="A14" s="48" t="s">
        <v>190</v>
      </c>
      <c r="B14" s="26"/>
      <c r="C14" s="26"/>
      <c r="D14" s="26"/>
      <c r="E14" s="26"/>
      <c r="F14" s="26"/>
      <c r="G14" s="26"/>
      <c r="H14" s="27"/>
    </row>
    <row r="15" ht="15.75" customHeight="1">
      <c r="A15" s="49" t="s">
        <v>246</v>
      </c>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49" t="s">
        <v>247</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55">
        <f>D39+D40+D41+D42</f>
        <v>60</v>
      </c>
      <c r="I21" s="5"/>
    </row>
    <row r="22" ht="15.75" customHeight="1">
      <c r="G22" s="32" t="s">
        <v>195</v>
      </c>
    </row>
    <row r="23" ht="15.75" customHeight="1">
      <c r="A23" s="36" t="s">
        <v>196</v>
      </c>
      <c r="B23" s="37" t="s">
        <v>248</v>
      </c>
      <c r="C23" s="26"/>
      <c r="D23" s="26"/>
      <c r="E23" s="26"/>
      <c r="F23" s="26"/>
      <c r="G23" s="26"/>
      <c r="H23" s="27"/>
    </row>
    <row r="24" ht="15.75" customHeight="1">
      <c r="A24" s="36" t="s">
        <v>196</v>
      </c>
      <c r="B24" s="37" t="s">
        <v>47</v>
      </c>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4 Business Intelligence y Workflow")</f>
        <v>Unidad 4 Business Intelligence y Workflow</v>
      </c>
      <c r="C28" s="27"/>
      <c r="D28" s="25" t="str">
        <f>IFERROR(__xludf.DUMMYFUNCTION("FILTER('Diseño'!E:E,'Diseño'!H:H=$C$5)"),"Business Intelligence y modelos de workflow")</f>
        <v>Business Intelligence y modelos de workflow</v>
      </c>
      <c r="E28" s="27"/>
      <c r="F28" s="25" t="str">
        <f>IFERROR(__xludf.DUMMYFUNCTION("FILTER('Diseño'!F:F,'Diseño'!H:H=$C$5)"),"Beneficios de herramientas BI e integración con sistemas datawarehouse y datamining.")</f>
        <v>Beneficios de herramientas BI e integración con sistemas datawarehouse y datamining.</v>
      </c>
      <c r="G28" s="26"/>
      <c r="H28" s="27"/>
    </row>
    <row r="29" ht="15.75" customHeight="1">
      <c r="A29" s="28">
        <v>2.0</v>
      </c>
      <c r="B29" s="25" t="str">
        <f>IFERROR(__xludf.DUMMYFUNCTION("""COMPUTED_VALUE"""),"Unidad 4 Business Intelligence y Workflow")</f>
        <v>Unidad 4 Business Intelligence y Workflow</v>
      </c>
      <c r="C29" s="27"/>
      <c r="D29" s="25" t="str">
        <f>IFERROR(__xludf.DUMMYFUNCTION("""COMPUTED_VALUE"""),"Business Intelligence y modelos de workflow")</f>
        <v>Business Intelligence y modelos de workflow</v>
      </c>
      <c r="E29" s="27"/>
      <c r="F29" s="25" t="str">
        <f>IFERROR(__xludf.DUMMYFUNCTION("""COMPUTED_VALUE"""),"Buenas prácticas.")</f>
        <v>Buenas prácticas.</v>
      </c>
      <c r="G29" s="26"/>
      <c r="H29" s="27"/>
    </row>
    <row r="30" ht="15.75" customHeight="1">
      <c r="A30" s="28">
        <v>3.0</v>
      </c>
      <c r="B30" s="25" t="str">
        <f>IFERROR(__xludf.DUMMYFUNCTION("""COMPUTED_VALUE"""),"Unidad 4 Business Intelligence y Workflow")</f>
        <v>Unidad 4 Business Intelligence y Workflow</v>
      </c>
      <c r="C30" s="27"/>
      <c r="D30" s="25" t="str">
        <f>IFERROR(__xludf.DUMMYFUNCTION("""COMPUTED_VALUE"""),"Business Intelligence y modelos de workflow")</f>
        <v>Business Intelligence y modelos de workflow</v>
      </c>
      <c r="E30" s="27"/>
      <c r="F30" s="25" t="str">
        <f>IFERROR(__xludf.DUMMYFUNCTION("""COMPUTED_VALUE"""),"Ejemplos de herramientas BI y beneficios.")</f>
        <v>Ejemplos de herramientas BI y beneficios.</v>
      </c>
      <c r="G30" s="26"/>
      <c r="H30" s="27"/>
    </row>
    <row r="31" ht="15.75" customHeight="1">
      <c r="A31" s="28">
        <v>4.0</v>
      </c>
      <c r="B31" s="25" t="str">
        <f>IFERROR(__xludf.DUMMYFUNCTION("""COMPUTED_VALUE"""),"Unidad 4 Business Intelligence y Workflow")</f>
        <v>Unidad 4 Business Intelligence y Workflow</v>
      </c>
      <c r="C31" s="27"/>
      <c r="D31" s="25" t="str">
        <f>IFERROR(__xludf.DUMMYFUNCTION("""COMPUTED_VALUE"""),"Business Intelligence y modelos de workflow")</f>
        <v>Business Intelligence y modelos de workflow</v>
      </c>
      <c r="E31" s="27"/>
      <c r="F31" s="25" t="str">
        <f>IFERROR(__xludf.DUMMYFUNCTION("""COMPUTED_VALUE"""),"Definición de workflow.")</f>
        <v>Definición de workflow.</v>
      </c>
      <c r="G31" s="26"/>
      <c r="H31" s="27"/>
    </row>
    <row r="32" ht="15.75" customHeight="1">
      <c r="A32" s="28">
        <v>5.0</v>
      </c>
      <c r="B32" s="25" t="str">
        <f>IFERROR(__xludf.DUMMYFUNCTION("""COMPUTED_VALUE"""),"Unidad 4 Business Intelligence y Workflow")</f>
        <v>Unidad 4 Business Intelligence y Workflow</v>
      </c>
      <c r="C32" s="27"/>
      <c r="D32" s="25" t="str">
        <f>IFERROR(__xludf.DUMMYFUNCTION("""COMPUTED_VALUE"""),"Business Intelligence y modelos de workflow")</f>
        <v>Business Intelligence y modelos de workflow</v>
      </c>
      <c r="E32" s="27"/>
      <c r="F32" s="25" t="str">
        <f>IFERROR(__xludf.DUMMYFUNCTION("""COMPUTED_VALUE"""),"Componentes del workflow, tareas, roles, recursos.")</f>
        <v>Componentes del workflow, tareas, roles, recursos.</v>
      </c>
      <c r="G32" s="26"/>
      <c r="H32" s="27"/>
    </row>
    <row r="33" ht="15.75" customHeight="1">
      <c r="A33" s="28">
        <v>6.0</v>
      </c>
      <c r="B33" s="25" t="str">
        <f>IFERROR(__xludf.DUMMYFUNCTION("""COMPUTED_VALUE"""),"Unidad 4 Business Intelligence y Workflow")</f>
        <v>Unidad 4 Business Intelligence y Workflow</v>
      </c>
      <c r="C33" s="27"/>
      <c r="D33" s="25" t="str">
        <f>IFERROR(__xludf.DUMMYFUNCTION("""COMPUTED_VALUE"""),"Business Intelligence y modelos de workflow")</f>
        <v>Business Intelligence y modelos de workflow</v>
      </c>
      <c r="E33" s="27"/>
      <c r="F33" s="25" t="str">
        <f>IFERROR(__xludf.DUMMYFUNCTION("""COMPUTED_VALUE"""),"Tipos de workflow (estructurados, no estructurados).")</f>
        <v>Tipos de workflow (estructurados, no estructurados).</v>
      </c>
      <c r="G33" s="26"/>
      <c r="H33" s="27"/>
    </row>
    <row r="34" ht="15.75" customHeight="1">
      <c r="A34" s="28">
        <v>7.0</v>
      </c>
      <c r="B34" s="25" t="str">
        <f>IFERROR(__xludf.DUMMYFUNCTION("""COMPUTED_VALUE"""),"Unidad 4 Business Intelligence y Workflow")</f>
        <v>Unidad 4 Business Intelligence y Workflow</v>
      </c>
      <c r="C34" s="27"/>
      <c r="D34" s="25" t="str">
        <f>IFERROR(__xludf.DUMMYFUNCTION("""COMPUTED_VALUE"""),"Business Intelligence y modelos de workflow")</f>
        <v>Business Intelligence y modelos de workflow</v>
      </c>
      <c r="E34" s="27"/>
      <c r="F34" s="25" t="str">
        <f>IFERROR(__xludf.DUMMYFUNCTION("""COMPUTED_VALUE"""),"Tipos de workflow (horizontal, vertical)")</f>
        <v>Tipos de workflow (horizontal, vertical)</v>
      </c>
      <c r="G34" s="26"/>
      <c r="H34" s="27"/>
    </row>
    <row r="35" ht="15.75" customHeight="1"/>
    <row r="36" ht="15.75" customHeight="1">
      <c r="A36" s="56" t="s">
        <v>201</v>
      </c>
    </row>
    <row r="37" ht="15.75" customHeight="1">
      <c r="A37" s="5"/>
      <c r="B37" s="5"/>
      <c r="C37" s="5"/>
      <c r="D37" s="5"/>
      <c r="E37" s="5"/>
      <c r="F37" s="5"/>
      <c r="G37" s="5"/>
      <c r="H37" s="5"/>
    </row>
    <row r="38" ht="15.75" customHeight="1">
      <c r="A38" s="57" t="s">
        <v>202</v>
      </c>
      <c r="B38" s="57" t="s">
        <v>203</v>
      </c>
      <c r="C38" s="60" t="s">
        <v>204</v>
      </c>
      <c r="D38" s="61" t="s">
        <v>144</v>
      </c>
      <c r="E38" s="26"/>
      <c r="F38" s="26"/>
      <c r="G38" s="26"/>
      <c r="H38" s="27"/>
    </row>
    <row r="39" ht="15.75" customHeight="1">
      <c r="A39" s="28" t="s">
        <v>205</v>
      </c>
      <c r="B39" s="28" t="s">
        <v>206</v>
      </c>
      <c r="C39" s="28"/>
      <c r="D39" s="37">
        <v>25.0</v>
      </c>
      <c r="E39" s="26"/>
      <c r="F39" s="26"/>
      <c r="G39" s="26"/>
      <c r="H39" s="27"/>
    </row>
    <row r="40" ht="15.75" customHeight="1">
      <c r="A40" s="28" t="s">
        <v>207</v>
      </c>
      <c r="B40" s="28" t="s">
        <v>206</v>
      </c>
      <c r="C40" s="28" t="s">
        <v>208</v>
      </c>
      <c r="D40" s="37">
        <v>5.0</v>
      </c>
      <c r="E40" s="26"/>
      <c r="F40" s="26"/>
      <c r="G40" s="26"/>
      <c r="H40" s="27"/>
    </row>
    <row r="41" ht="15.75" customHeight="1">
      <c r="A41" s="28" t="s">
        <v>209</v>
      </c>
      <c r="B41" s="28" t="s">
        <v>210</v>
      </c>
      <c r="C41" s="28"/>
      <c r="D41" s="25"/>
      <c r="E41" s="26"/>
      <c r="F41" s="26"/>
      <c r="G41" s="26"/>
      <c r="H41" s="27"/>
    </row>
    <row r="42" ht="15.75" customHeight="1">
      <c r="A42" s="28" t="s">
        <v>211</v>
      </c>
      <c r="B42" s="28" t="s">
        <v>206</v>
      </c>
      <c r="C42" s="28"/>
      <c r="D42" s="37">
        <v>30.0</v>
      </c>
      <c r="E42" s="26"/>
      <c r="F42" s="26"/>
      <c r="G42" s="26"/>
      <c r="H42" s="27"/>
    </row>
    <row r="43" ht="15.75" customHeight="1"/>
    <row r="44" ht="15.75" customHeight="1">
      <c r="A44" s="46" t="s">
        <v>212</v>
      </c>
      <c r="G44" s="40" t="s">
        <v>144</v>
      </c>
      <c r="H44" s="47">
        <v>30.0</v>
      </c>
    </row>
    <row r="45" ht="15.75" customHeight="1">
      <c r="G45" s="32" t="s">
        <v>213</v>
      </c>
    </row>
    <row r="46" ht="15.75" customHeight="1">
      <c r="A46" s="32" t="s">
        <v>214</v>
      </c>
    </row>
    <row r="47" ht="15.75" customHeight="1">
      <c r="A47" s="36" t="s">
        <v>215</v>
      </c>
      <c r="B47" s="25" t="s">
        <v>242</v>
      </c>
      <c r="C47" s="26"/>
      <c r="D47" s="26"/>
      <c r="E47" s="26"/>
      <c r="F47" s="26"/>
      <c r="G47" s="26"/>
      <c r="H47" s="27"/>
    </row>
    <row r="48" ht="15.75" customHeight="1">
      <c r="A48" s="36" t="s">
        <v>216</v>
      </c>
      <c r="B48" s="25" t="s">
        <v>235</v>
      </c>
      <c r="C48" s="26"/>
      <c r="D48" s="26"/>
      <c r="E48" s="26"/>
      <c r="F48" s="26"/>
      <c r="G48" s="26"/>
      <c r="H48" s="27"/>
    </row>
    <row r="49" ht="15.75" customHeight="1">
      <c r="A49" s="36" t="s">
        <v>184</v>
      </c>
      <c r="B49" s="62">
        <v>0.0</v>
      </c>
      <c r="C49" s="26"/>
      <c r="D49" s="26"/>
      <c r="E49" s="26"/>
      <c r="F49" s="26"/>
      <c r="G49" s="26"/>
      <c r="H49" s="27"/>
    </row>
    <row r="50" ht="15.75" customHeight="1">
      <c r="A50" s="36" t="s">
        <v>144</v>
      </c>
      <c r="B50" s="37">
        <v>35.0</v>
      </c>
      <c r="C50" s="26"/>
      <c r="D50" s="26"/>
      <c r="E50" s="26"/>
      <c r="F50" s="26"/>
      <c r="G50" s="26"/>
      <c r="H50" s="27"/>
    </row>
    <row r="51" ht="15.75" customHeight="1">
      <c r="A51" s="42" t="s">
        <v>218</v>
      </c>
      <c r="B51" s="5"/>
      <c r="C51" s="5"/>
      <c r="D51" s="5"/>
      <c r="E51" s="5"/>
      <c r="F51" s="5"/>
      <c r="G51" s="5"/>
      <c r="H51" s="5"/>
    </row>
    <row r="52" ht="15.75" customHeight="1">
      <c r="A52" s="48" t="s">
        <v>219</v>
      </c>
      <c r="B52" s="26"/>
      <c r="C52" s="26"/>
      <c r="D52" s="26"/>
      <c r="E52" s="26"/>
      <c r="F52" s="26"/>
      <c r="G52" s="26"/>
      <c r="H52" s="27"/>
    </row>
    <row r="53" ht="15.75" customHeight="1">
      <c r="A53" s="49" t="s">
        <v>249</v>
      </c>
      <c r="B53" s="50"/>
      <c r="C53" s="50"/>
      <c r="D53" s="50"/>
      <c r="E53" s="50"/>
      <c r="F53" s="50"/>
      <c r="G53" s="50"/>
      <c r="H53" s="51"/>
    </row>
    <row r="54" ht="15.75" customHeight="1">
      <c r="A54" s="63"/>
      <c r="H54" s="64"/>
    </row>
    <row r="55" ht="15.75" customHeight="1">
      <c r="A55" s="52"/>
      <c r="B55" s="53"/>
      <c r="C55" s="53"/>
      <c r="D55" s="53"/>
      <c r="E55" s="53"/>
      <c r="F55" s="53"/>
      <c r="G55" s="53"/>
      <c r="H55" s="54"/>
    </row>
    <row r="56" ht="15.75" customHeight="1"/>
    <row r="57" ht="15.75" customHeight="1">
      <c r="A57" s="32" t="s">
        <v>221</v>
      </c>
    </row>
    <row r="58" ht="15.75" customHeight="1">
      <c r="A58" s="36" t="s">
        <v>215</v>
      </c>
      <c r="B58" s="25"/>
      <c r="C58" s="26"/>
      <c r="D58" s="26"/>
      <c r="E58" s="26"/>
      <c r="F58" s="26"/>
      <c r="G58" s="26"/>
      <c r="H58" s="27"/>
    </row>
    <row r="59" ht="15.75" customHeight="1">
      <c r="A59" s="36" t="s">
        <v>216</v>
      </c>
      <c r="B59" s="25"/>
      <c r="C59" s="26"/>
      <c r="D59" s="26"/>
      <c r="E59" s="26"/>
      <c r="F59" s="26"/>
      <c r="G59" s="26"/>
      <c r="H59" s="27"/>
    </row>
    <row r="60" ht="15.75" customHeight="1">
      <c r="A60" s="36" t="s">
        <v>184</v>
      </c>
      <c r="B60" s="62"/>
      <c r="C60" s="26"/>
      <c r="D60" s="26"/>
      <c r="E60" s="26"/>
      <c r="F60" s="26"/>
      <c r="G60" s="26"/>
      <c r="H60" s="27"/>
    </row>
    <row r="61" ht="15.75" customHeight="1">
      <c r="A61" s="36" t="s">
        <v>144</v>
      </c>
      <c r="B61" s="62"/>
      <c r="C61" s="26"/>
      <c r="D61" s="26"/>
      <c r="E61" s="26"/>
      <c r="F61" s="26"/>
      <c r="G61" s="26"/>
      <c r="H61" s="27"/>
    </row>
    <row r="62" ht="15.75" customHeight="1">
      <c r="A62" s="65" t="s">
        <v>222</v>
      </c>
      <c r="B62" s="5"/>
      <c r="C62" s="5"/>
      <c r="D62" s="5"/>
      <c r="E62" s="5"/>
      <c r="F62" s="5"/>
      <c r="G62" s="5"/>
      <c r="H62" s="5"/>
    </row>
    <row r="63" ht="15.75" customHeight="1">
      <c r="A63" s="48" t="s">
        <v>219</v>
      </c>
      <c r="B63" s="26"/>
      <c r="C63" s="26"/>
      <c r="D63" s="26"/>
      <c r="E63" s="26"/>
      <c r="F63" s="26"/>
      <c r="G63" s="26"/>
      <c r="H63" s="27"/>
    </row>
    <row r="64" ht="15.75" customHeight="1">
      <c r="A64" s="66"/>
      <c r="B64" s="50"/>
      <c r="C64" s="50"/>
      <c r="D64" s="50"/>
      <c r="E64" s="50"/>
      <c r="F64" s="50"/>
      <c r="G64" s="50"/>
      <c r="H64" s="51"/>
    </row>
    <row r="65" ht="15.75" customHeight="1">
      <c r="A65" s="63"/>
      <c r="H65" s="64"/>
    </row>
    <row r="66" ht="15.75" customHeight="1">
      <c r="A66" s="52"/>
      <c r="B66" s="53"/>
      <c r="C66" s="53"/>
      <c r="D66" s="53"/>
      <c r="E66" s="53"/>
      <c r="F66" s="53"/>
      <c r="G66" s="53"/>
      <c r="H66" s="54"/>
    </row>
    <row r="67" ht="15.75" customHeight="1"/>
    <row r="68" ht="15.75" customHeight="1">
      <c r="A68" s="46" t="s">
        <v>223</v>
      </c>
      <c r="G68" s="40" t="s">
        <v>144</v>
      </c>
      <c r="H68" s="47">
        <v>5.0</v>
      </c>
    </row>
    <row r="69" ht="15.75" customHeight="1">
      <c r="G69" s="32" t="s">
        <v>224</v>
      </c>
    </row>
    <row r="70" ht="15.75" customHeight="1">
      <c r="A70" s="36" t="s">
        <v>144</v>
      </c>
      <c r="B70" s="67">
        <v>5.0</v>
      </c>
      <c r="C70" s="26"/>
      <c r="D70" s="26"/>
      <c r="E70" s="26"/>
      <c r="F70" s="26"/>
      <c r="G70" s="26"/>
      <c r="H70" s="27"/>
    </row>
    <row r="71" ht="15.75" customHeight="1">
      <c r="A71" s="61" t="s">
        <v>225</v>
      </c>
      <c r="B71" s="26"/>
      <c r="C71" s="26"/>
      <c r="D71" s="26"/>
      <c r="E71" s="26"/>
      <c r="F71" s="26"/>
      <c r="G71" s="26"/>
      <c r="H71" s="27"/>
    </row>
    <row r="72" ht="15.75" customHeight="1">
      <c r="A72" s="49" t="s">
        <v>250</v>
      </c>
      <c r="B72" s="50"/>
      <c r="C72" s="50"/>
      <c r="D72" s="50"/>
      <c r="E72" s="50"/>
      <c r="F72" s="50"/>
      <c r="G72" s="50"/>
      <c r="H72" s="51"/>
    </row>
    <row r="73" ht="15.75" customHeight="1">
      <c r="A73" s="52"/>
      <c r="B73" s="53"/>
      <c r="C73" s="53"/>
      <c r="D73" s="53"/>
      <c r="E73" s="53"/>
      <c r="F73" s="53"/>
      <c r="G73" s="53"/>
      <c r="H73" s="54"/>
    </row>
    <row r="74" ht="15.75" customHeight="1">
      <c r="A74" s="32"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7.0</v>
      </c>
      <c r="D5" s="26"/>
      <c r="E5" s="26"/>
      <c r="F5" s="26"/>
      <c r="G5" s="27"/>
    </row>
    <row r="6" ht="15.75" customHeight="1">
      <c r="B6" s="45" t="s">
        <v>142</v>
      </c>
      <c r="C6" s="25">
        <f>H10+H21+H44+H68</f>
        <v>100</v>
      </c>
      <c r="D6" s="26"/>
      <c r="E6" s="26"/>
      <c r="F6" s="26"/>
      <c r="G6" s="27"/>
      <c r="I6" s="5"/>
    </row>
    <row r="7" ht="15.75" customHeight="1">
      <c r="B7" s="45" t="s">
        <v>184</v>
      </c>
      <c r="C7" s="25">
        <f>B49+B60</f>
        <v>0</v>
      </c>
      <c r="D7" s="26"/>
      <c r="E7" s="26"/>
      <c r="F7" s="26"/>
      <c r="G7" s="27"/>
    </row>
    <row r="8" ht="15.75" customHeight="1">
      <c r="B8" s="45" t="s">
        <v>185</v>
      </c>
      <c r="C8" s="25" t="str">
        <f>IF(H44&lt;=0, "❌ ERROR: La Actividad 1 debe tener un tiempo mayor a 0.", IF(H21&gt;60, "❌ ERROR: El 'Área de Conocimiento' no puede exceder los 60 min.", IF((H10+H21+H44)=100, "❌ ERROR: El tiempo total debe ser de al menos 100 min.", "✅ VALIDACIÓN CORRECTA")))</f>
        <v>✅ VALIDACIÓN CORRECTA</v>
      </c>
      <c r="D8" s="26"/>
      <c r="E8" s="26"/>
      <c r="F8" s="26"/>
      <c r="G8" s="27"/>
      <c r="I8" s="5"/>
      <c r="J8" s="5"/>
      <c r="K8" s="5"/>
    </row>
    <row r="9" ht="15.75" customHeight="1"/>
    <row r="10" ht="15.75" customHeight="1">
      <c r="A10" s="46" t="s">
        <v>186</v>
      </c>
      <c r="G10" s="40" t="s">
        <v>144</v>
      </c>
      <c r="H10" s="47">
        <v>10.0</v>
      </c>
    </row>
    <row r="11" ht="15.75" customHeight="1">
      <c r="G11" s="32" t="s">
        <v>187</v>
      </c>
    </row>
    <row r="12" ht="15.75" customHeight="1">
      <c r="A12" s="36" t="s">
        <v>188</v>
      </c>
      <c r="B12" s="37" t="s">
        <v>251</v>
      </c>
      <c r="C12" s="26"/>
      <c r="D12" s="26"/>
      <c r="E12" s="26"/>
      <c r="F12" s="26"/>
      <c r="G12" s="26"/>
      <c r="H12" s="27"/>
    </row>
    <row r="13" ht="15.75" customHeight="1">
      <c r="A13" s="38" t="s">
        <v>144</v>
      </c>
      <c r="B13" s="25"/>
      <c r="C13" s="26"/>
      <c r="D13" s="26"/>
      <c r="E13" s="26"/>
      <c r="F13" s="26"/>
      <c r="G13" s="26"/>
      <c r="H13" s="27"/>
    </row>
    <row r="14" ht="15.75" customHeight="1">
      <c r="A14" s="48" t="s">
        <v>190</v>
      </c>
      <c r="B14" s="26"/>
      <c r="C14" s="26"/>
      <c r="D14" s="26"/>
      <c r="E14" s="26"/>
      <c r="F14" s="26"/>
      <c r="G14" s="26"/>
      <c r="H14" s="27"/>
    </row>
    <row r="15" ht="15.75" customHeight="1">
      <c r="A15" s="49" t="s">
        <v>252</v>
      </c>
      <c r="B15" s="68"/>
      <c r="C15" s="68"/>
      <c r="D15" s="68"/>
      <c r="E15" s="68"/>
      <c r="F15" s="68"/>
      <c r="G15" s="68"/>
      <c r="H15" s="69"/>
    </row>
    <row r="16" ht="15.75" customHeight="1">
      <c r="A16" s="70"/>
      <c r="B16" s="71"/>
      <c r="C16" s="71"/>
      <c r="D16" s="71"/>
      <c r="E16" s="71"/>
      <c r="F16" s="71"/>
      <c r="G16" s="71"/>
      <c r="H16" s="72"/>
    </row>
    <row r="17" ht="15.75" customHeight="1">
      <c r="A17" s="48" t="s">
        <v>192</v>
      </c>
      <c r="B17" s="26"/>
      <c r="C17" s="26"/>
      <c r="D17" s="26"/>
      <c r="E17" s="26"/>
      <c r="F17" s="26"/>
      <c r="G17" s="26"/>
      <c r="H17" s="27"/>
    </row>
    <row r="18" ht="15.75" customHeight="1">
      <c r="A18" s="49" t="s">
        <v>253</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47">
        <v>50.0</v>
      </c>
      <c r="I21" s="5"/>
    </row>
    <row r="22" ht="15.75" customHeight="1">
      <c r="G22" s="32" t="s">
        <v>195</v>
      </c>
    </row>
    <row r="23" ht="15.75" customHeight="1">
      <c r="A23" s="36" t="s">
        <v>196</v>
      </c>
      <c r="B23" s="37" t="s">
        <v>12</v>
      </c>
      <c r="C23" s="26"/>
      <c r="D23" s="26"/>
      <c r="E23" s="26"/>
      <c r="F23" s="26"/>
      <c r="G23" s="26"/>
      <c r="H23" s="27"/>
    </row>
    <row r="24" ht="15.75" customHeight="1">
      <c r="A24" s="36" t="s">
        <v>196</v>
      </c>
      <c r="B24" s="37" t="s">
        <v>47</v>
      </c>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5 Gestión documental y Modelos de Workflow BPO")</f>
        <v>Unidad 5 Gestión documental y Modelos de Workflow BPO</v>
      </c>
      <c r="C28" s="27"/>
      <c r="D28" s="25" t="str">
        <f>IFERROR(__xludf.DUMMYFUNCTION("FILTER('Diseño'!E:E,'Diseño'!H:H=$C$5)"),"Modelos de Workflow: Definiciones clave y principios de mejora eficiencia.")</f>
        <v>Modelos de Workflow: Definiciones clave y principios de mejora eficiencia.</v>
      </c>
      <c r="E28" s="27"/>
      <c r="F28" s="25" t="str">
        <f>IFERROR(__xludf.DUMMYFUNCTION("FILTER('Diseño'!F:F,'Diseño'!H:H=$C$5)"),"Beneficios del uso de workflow: Eficiencia, comunicación, reducción de errores.")</f>
        <v>Beneficios del uso de workflow: Eficiencia, comunicación, reducción de errores.</v>
      </c>
      <c r="G28" s="26"/>
      <c r="H28" s="27"/>
    </row>
    <row r="29" ht="15.75" customHeight="1">
      <c r="A29" s="28">
        <v>2.0</v>
      </c>
      <c r="B29" s="25" t="str">
        <f>IFERROR(__xludf.DUMMYFUNCTION("""COMPUTED_VALUE"""),"Unidad 5 Gestión documental y Modelos de Workflow BPO")</f>
        <v>Unidad 5 Gestión documental y Modelos de Workflow BPO</v>
      </c>
      <c r="C29" s="27"/>
      <c r="D29" s="25" t="str">
        <f>IFERROR(__xludf.DUMMYFUNCTION("""COMPUTED_VALUE"""),"Modelos de Workflow: Definiciones clave y principios de mejora eficiencia.")</f>
        <v>Modelos de Workflow: Definiciones clave y principios de mejora eficiencia.</v>
      </c>
      <c r="E29" s="27"/>
      <c r="F29" s="25" t="str">
        <f>IFERROR(__xludf.DUMMYFUNCTION("""COMPUTED_VALUE"""),"Definiciones clave.")</f>
        <v>Definiciones clave.</v>
      </c>
      <c r="G29" s="26"/>
      <c r="H29" s="27"/>
    </row>
    <row r="30" ht="15.75" customHeight="1">
      <c r="A30" s="28">
        <v>3.0</v>
      </c>
      <c r="B30" s="25" t="str">
        <f>IFERROR(__xludf.DUMMYFUNCTION("""COMPUTED_VALUE"""),"Unidad 5 Gestión documental y Modelos de Workflow BPO")</f>
        <v>Unidad 5 Gestión documental y Modelos de Workflow BPO</v>
      </c>
      <c r="C30" s="27"/>
      <c r="D30" s="25" t="str">
        <f>IFERROR(__xludf.DUMMYFUNCTION("""COMPUTED_VALUE"""),"Modelos de Workflow: Definiciones clave y principios de mejora eficiencia.")</f>
        <v>Modelos de Workflow: Definiciones clave y principios de mejora eficiencia.</v>
      </c>
      <c r="E30" s="27"/>
      <c r="F30" s="25" t="str">
        <f>IFERROR(__xludf.DUMMYFUNCTION("""COMPUTED_VALUE"""),"Ciclo de vida del documento.")</f>
        <v>Ciclo de vida del documento.</v>
      </c>
      <c r="G30" s="26"/>
      <c r="H30" s="27"/>
    </row>
    <row r="31" ht="15.75" customHeight="1">
      <c r="A31" s="28">
        <v>4.0</v>
      </c>
      <c r="B31" s="25" t="str">
        <f>IFERROR(__xludf.DUMMYFUNCTION("""COMPUTED_VALUE"""),"Unidad 5 Gestión documental y Modelos de Workflow BPO")</f>
        <v>Unidad 5 Gestión documental y Modelos de Workflow BPO</v>
      </c>
      <c r="C31" s="27"/>
      <c r="D31" s="25" t="str">
        <f>IFERROR(__xludf.DUMMYFUNCTION("""COMPUTED_VALUE"""),"Modelos de Workflow: Definiciones clave y principios de mejora eficiencia.")</f>
        <v>Modelos de Workflow: Definiciones clave y principios de mejora eficiencia.</v>
      </c>
      <c r="E31" s="27"/>
      <c r="F31" s="25" t="str">
        <f>IFERROR(__xludf.DUMMYFUNCTION("""COMPUTED_VALUE"""),"Normativas y estándares, internos y externos.")</f>
        <v>Normativas y estándares, internos y externos.</v>
      </c>
      <c r="G31" s="26"/>
      <c r="H31" s="27"/>
    </row>
    <row r="32" ht="15.75" customHeight="1">
      <c r="A32" s="28">
        <v>5.0</v>
      </c>
      <c r="B32" s="25" t="str">
        <f>IFERROR(__xludf.DUMMYFUNCTION("""COMPUTED_VALUE"""),"Unidad 5 Gestión documental y Modelos de Workflow BPO")</f>
        <v>Unidad 5 Gestión documental y Modelos de Workflow BPO</v>
      </c>
      <c r="C32" s="27"/>
      <c r="D32" s="25" t="str">
        <f>IFERROR(__xludf.DUMMYFUNCTION("""COMPUTED_VALUE"""),"Modelos de Workflow: Definiciones clave y principios de mejora eficiencia.")</f>
        <v>Modelos de Workflow: Definiciones clave y principios de mejora eficiencia.</v>
      </c>
      <c r="E32" s="27"/>
      <c r="F32" s="25" t="str">
        <f>IFERROR(__xludf.DUMMYFUNCTION("""COMPUTED_VALUE"""),"Normativas y estándars internacionales.")</f>
        <v>Normativas y estándars internacionales.</v>
      </c>
      <c r="G32" s="26"/>
      <c r="H32" s="27"/>
    </row>
    <row r="33" ht="15.75" customHeight="1">
      <c r="A33" s="28">
        <v>6.0</v>
      </c>
      <c r="B33" s="25" t="str">
        <f>IFERROR(__xludf.DUMMYFUNCTION("""COMPUTED_VALUE"""),"Unidad 5 Gestión documental y Modelos de Workflow BPO")</f>
        <v>Unidad 5 Gestión documental y Modelos de Workflow BPO</v>
      </c>
      <c r="C33" s="27"/>
      <c r="D33" s="25" t="str">
        <f>IFERROR(__xludf.DUMMYFUNCTION("""COMPUTED_VALUE"""),"Modelos de Workflow: Definiciones clave y principios de mejora eficiencia.")</f>
        <v>Modelos de Workflow: Definiciones clave y principios de mejora eficiencia.</v>
      </c>
      <c r="E33" s="27"/>
      <c r="F33" s="25" t="str">
        <f>IFERROR(__xludf.DUMMYFUNCTION("""COMPUTED_VALUE"""),"Calidad de la documentación.")</f>
        <v>Calidad de la documentación.</v>
      </c>
      <c r="G33" s="26"/>
      <c r="H33" s="27"/>
    </row>
    <row r="34" ht="15.75" customHeight="1">
      <c r="A34" s="28">
        <v>7.0</v>
      </c>
      <c r="B34" s="25" t="str">
        <f>IFERROR(__xludf.DUMMYFUNCTION("""COMPUTED_VALUE"""),"Unidad 5 Gestión documental y Modelos de Workflow BPO")</f>
        <v>Unidad 5 Gestión documental y Modelos de Workflow BPO</v>
      </c>
      <c r="C34" s="27"/>
      <c r="D34" s="25" t="str">
        <f>IFERROR(__xludf.DUMMYFUNCTION("""COMPUTED_VALUE"""),"Modelos de Workflow: Definiciones clave y principios de mejora eficiencia.")</f>
        <v>Modelos de Workflow: Definiciones clave y principios de mejora eficiencia.</v>
      </c>
      <c r="E34" s="27"/>
      <c r="F34" s="25" t="str">
        <f>IFERROR(__xludf.DUMMYFUNCTION("""COMPUTED_VALUE"""),"Ejemplos de workflow.")</f>
        <v>Ejemplos de workflow.</v>
      </c>
      <c r="G34" s="26"/>
      <c r="H34" s="27"/>
    </row>
    <row r="35" ht="15.75" customHeight="1">
      <c r="B35" s="59" t="str">
        <f>IFERROR(__xludf.DUMMYFUNCTION("""COMPUTED_VALUE"""),"Unidad 5 Gestión documental y Modelos de Workflow BPO")</f>
        <v>Unidad 5 Gestión documental y Modelos de Workflow BPO</v>
      </c>
      <c r="D35" s="59" t="str">
        <f>IFERROR(__xludf.DUMMYFUNCTION("""COMPUTED_VALUE"""),"Modelos Workflow: Integración, gestión documental y transformación digital.")</f>
        <v>Modelos Workflow: Integración, gestión documental y transformación digital.</v>
      </c>
      <c r="F35" s="59" t="str">
        <f>IFERROR(__xludf.DUMMYFUNCTION("""COMPUTED_VALUE"""),"Desarrollo y correcto flujo de los documentos.")</f>
        <v>Desarrollo y correcto flujo de los documentos.</v>
      </c>
    </row>
    <row r="36" ht="15.75" customHeight="1">
      <c r="A36" s="56" t="s">
        <v>201</v>
      </c>
    </row>
    <row r="37" ht="15.75" customHeight="1">
      <c r="A37" s="5"/>
      <c r="B37" s="5"/>
      <c r="C37" s="5"/>
      <c r="D37" s="5"/>
      <c r="E37" s="5"/>
      <c r="F37" s="5"/>
      <c r="G37" s="5"/>
      <c r="H37" s="5"/>
    </row>
    <row r="38" ht="15.75" customHeight="1">
      <c r="A38" s="57" t="s">
        <v>202</v>
      </c>
      <c r="B38" s="57" t="s">
        <v>203</v>
      </c>
      <c r="C38" s="60" t="s">
        <v>204</v>
      </c>
      <c r="D38" s="61" t="s">
        <v>144</v>
      </c>
      <c r="E38" s="26"/>
      <c r="F38" s="26"/>
      <c r="G38" s="26"/>
      <c r="H38" s="27"/>
    </row>
    <row r="39" ht="15.75" customHeight="1">
      <c r="A39" s="28" t="s">
        <v>205</v>
      </c>
      <c r="B39" s="28" t="s">
        <v>206</v>
      </c>
      <c r="C39" s="73" t="s">
        <v>254</v>
      </c>
      <c r="D39" s="25"/>
      <c r="E39" s="26"/>
      <c r="F39" s="26"/>
      <c r="G39" s="26"/>
      <c r="H39" s="27"/>
    </row>
    <row r="40" ht="15.75" customHeight="1">
      <c r="A40" s="28" t="s">
        <v>207</v>
      </c>
      <c r="B40" s="28" t="s">
        <v>206</v>
      </c>
      <c r="C40" s="73" t="s">
        <v>255</v>
      </c>
      <c r="D40" s="25"/>
      <c r="E40" s="26"/>
      <c r="F40" s="26"/>
      <c r="G40" s="26"/>
      <c r="H40" s="27"/>
    </row>
    <row r="41" ht="15.75" customHeight="1">
      <c r="A41" s="28" t="s">
        <v>209</v>
      </c>
      <c r="B41" s="28" t="s">
        <v>210</v>
      </c>
      <c r="C41" s="28"/>
      <c r="D41" s="25"/>
      <c r="E41" s="26"/>
      <c r="F41" s="26"/>
      <c r="G41" s="26"/>
      <c r="H41" s="27"/>
    </row>
    <row r="42" ht="15.75" customHeight="1">
      <c r="A42" s="28" t="s">
        <v>211</v>
      </c>
      <c r="B42" s="28" t="s">
        <v>206</v>
      </c>
      <c r="C42" s="73" t="s">
        <v>256</v>
      </c>
      <c r="D42" s="25"/>
      <c r="E42" s="26"/>
      <c r="F42" s="26"/>
      <c r="G42" s="26"/>
      <c r="H42" s="27"/>
    </row>
    <row r="43" ht="15.75" customHeight="1"/>
    <row r="44" ht="15.75" customHeight="1">
      <c r="A44" s="46" t="s">
        <v>212</v>
      </c>
      <c r="G44" s="40" t="s">
        <v>144</v>
      </c>
      <c r="H44" s="47">
        <v>20.0</v>
      </c>
    </row>
    <row r="45" ht="15.75" customHeight="1">
      <c r="G45" s="32" t="s">
        <v>213</v>
      </c>
    </row>
    <row r="46" ht="15.75" customHeight="1">
      <c r="A46" s="32" t="s">
        <v>214</v>
      </c>
    </row>
    <row r="47" ht="15.75" customHeight="1">
      <c r="A47" s="36" t="s">
        <v>215</v>
      </c>
      <c r="B47" s="25" t="s">
        <v>242</v>
      </c>
      <c r="C47" s="26"/>
      <c r="D47" s="26"/>
      <c r="E47" s="26"/>
      <c r="F47" s="26"/>
      <c r="G47" s="26"/>
      <c r="H47" s="27"/>
    </row>
    <row r="48" ht="15.75" customHeight="1">
      <c r="A48" s="36" t="s">
        <v>216</v>
      </c>
      <c r="B48" s="25" t="s">
        <v>235</v>
      </c>
      <c r="C48" s="26"/>
      <c r="D48" s="26"/>
      <c r="E48" s="26"/>
      <c r="F48" s="26"/>
      <c r="G48" s="26"/>
      <c r="H48" s="27"/>
    </row>
    <row r="49" ht="15.75" customHeight="1">
      <c r="A49" s="36" t="s">
        <v>184</v>
      </c>
      <c r="B49" s="62">
        <v>0.0</v>
      </c>
      <c r="C49" s="26"/>
      <c r="D49" s="26"/>
      <c r="E49" s="26"/>
      <c r="F49" s="26"/>
      <c r="G49" s="26"/>
      <c r="H49" s="27"/>
    </row>
    <row r="50" ht="15.75" customHeight="1">
      <c r="A50" s="36" t="s">
        <v>144</v>
      </c>
      <c r="B50" s="25">
        <v>0.0</v>
      </c>
      <c r="C50" s="26"/>
      <c r="D50" s="26"/>
      <c r="E50" s="26"/>
      <c r="F50" s="26"/>
      <c r="G50" s="26"/>
      <c r="H50" s="27"/>
    </row>
    <row r="51" ht="15.75" customHeight="1">
      <c r="A51" s="42" t="s">
        <v>218</v>
      </c>
      <c r="B51" s="5"/>
      <c r="C51" s="5"/>
      <c r="D51" s="5"/>
      <c r="E51" s="5"/>
      <c r="F51" s="5"/>
      <c r="G51" s="5"/>
      <c r="H51" s="5"/>
    </row>
    <row r="52" ht="15.75" customHeight="1">
      <c r="A52" s="48" t="s">
        <v>219</v>
      </c>
      <c r="B52" s="26"/>
      <c r="C52" s="26"/>
      <c r="D52" s="26"/>
      <c r="E52" s="26"/>
      <c r="F52" s="26"/>
      <c r="G52" s="26"/>
      <c r="H52" s="27"/>
    </row>
    <row r="53" ht="15.75" customHeight="1">
      <c r="A53" s="49" t="s">
        <v>257</v>
      </c>
      <c r="B53" s="50"/>
      <c r="C53" s="50"/>
      <c r="D53" s="50"/>
      <c r="E53" s="50"/>
      <c r="F53" s="50"/>
      <c r="G53" s="50"/>
      <c r="H53" s="51"/>
    </row>
    <row r="54" ht="15.75" customHeight="1">
      <c r="A54" s="63"/>
      <c r="H54" s="64"/>
    </row>
    <row r="55" ht="15.75" customHeight="1">
      <c r="A55" s="52"/>
      <c r="B55" s="53"/>
      <c r="C55" s="53"/>
      <c r="D55" s="53"/>
      <c r="E55" s="53"/>
      <c r="F55" s="53"/>
      <c r="G55" s="53"/>
      <c r="H55" s="54"/>
    </row>
    <row r="56" ht="15.75" customHeight="1"/>
    <row r="57" ht="15.75" customHeight="1">
      <c r="A57" s="32" t="s">
        <v>221</v>
      </c>
    </row>
    <row r="58" ht="15.75" customHeight="1">
      <c r="A58" s="36" t="s">
        <v>215</v>
      </c>
      <c r="B58" s="25"/>
      <c r="C58" s="26"/>
      <c r="D58" s="26"/>
      <c r="E58" s="26"/>
      <c r="F58" s="26"/>
      <c r="G58" s="26"/>
      <c r="H58" s="27"/>
    </row>
    <row r="59" ht="15.75" customHeight="1">
      <c r="A59" s="36" t="s">
        <v>216</v>
      </c>
      <c r="B59" s="25"/>
      <c r="C59" s="26"/>
      <c r="D59" s="26"/>
      <c r="E59" s="26"/>
      <c r="F59" s="26"/>
      <c r="G59" s="26"/>
      <c r="H59" s="27"/>
    </row>
    <row r="60" ht="15.75" customHeight="1">
      <c r="A60" s="36" t="s">
        <v>184</v>
      </c>
      <c r="B60" s="62"/>
      <c r="C60" s="26"/>
      <c r="D60" s="26"/>
      <c r="E60" s="26"/>
      <c r="F60" s="26"/>
      <c r="G60" s="26"/>
      <c r="H60" s="27"/>
    </row>
    <row r="61" ht="15.75" customHeight="1">
      <c r="A61" s="36" t="s">
        <v>144</v>
      </c>
      <c r="B61" s="62"/>
      <c r="C61" s="26"/>
      <c r="D61" s="26"/>
      <c r="E61" s="26"/>
      <c r="F61" s="26"/>
      <c r="G61" s="26"/>
      <c r="H61" s="27"/>
    </row>
    <row r="62" ht="15.75" customHeight="1">
      <c r="A62" s="65" t="s">
        <v>222</v>
      </c>
      <c r="B62" s="5"/>
      <c r="C62" s="5"/>
      <c r="D62" s="5"/>
      <c r="E62" s="5"/>
      <c r="F62" s="5"/>
      <c r="G62" s="5"/>
      <c r="H62" s="5"/>
    </row>
    <row r="63" ht="15.75" customHeight="1">
      <c r="A63" s="48" t="s">
        <v>219</v>
      </c>
      <c r="B63" s="26"/>
      <c r="C63" s="26"/>
      <c r="D63" s="26"/>
      <c r="E63" s="26"/>
      <c r="F63" s="26"/>
      <c r="G63" s="26"/>
      <c r="H63" s="27"/>
    </row>
    <row r="64" ht="15.75" customHeight="1">
      <c r="A64" s="66"/>
      <c r="B64" s="50"/>
      <c r="C64" s="50"/>
      <c r="D64" s="50"/>
      <c r="E64" s="50"/>
      <c r="F64" s="50"/>
      <c r="G64" s="50"/>
      <c r="H64" s="51"/>
    </row>
    <row r="65" ht="15.75" customHeight="1">
      <c r="A65" s="63"/>
      <c r="H65" s="64"/>
    </row>
    <row r="66" ht="15.75" customHeight="1">
      <c r="A66" s="52"/>
      <c r="B66" s="53"/>
      <c r="C66" s="53"/>
      <c r="D66" s="53"/>
      <c r="E66" s="53"/>
      <c r="F66" s="53"/>
      <c r="G66" s="53"/>
      <c r="H66" s="54"/>
    </row>
    <row r="67" ht="15.75" customHeight="1"/>
    <row r="68" ht="15.75" customHeight="1">
      <c r="A68" s="46" t="s">
        <v>223</v>
      </c>
      <c r="G68" s="40" t="s">
        <v>144</v>
      </c>
      <c r="H68" s="47">
        <v>20.0</v>
      </c>
    </row>
    <row r="69" ht="15.75" customHeight="1">
      <c r="G69" s="32" t="s">
        <v>224</v>
      </c>
    </row>
    <row r="70" ht="15.75" customHeight="1">
      <c r="A70" s="36" t="s">
        <v>144</v>
      </c>
      <c r="B70" s="62"/>
      <c r="C70" s="26"/>
      <c r="D70" s="26"/>
      <c r="E70" s="26"/>
      <c r="F70" s="26"/>
      <c r="G70" s="26"/>
      <c r="H70" s="27"/>
    </row>
    <row r="71" ht="15.75" customHeight="1">
      <c r="A71" s="61" t="s">
        <v>225</v>
      </c>
      <c r="B71" s="26"/>
      <c r="C71" s="26"/>
      <c r="D71" s="26"/>
      <c r="E71" s="26"/>
      <c r="F71" s="26"/>
      <c r="G71" s="26"/>
      <c r="H71" s="27"/>
    </row>
    <row r="72" ht="15.75" customHeight="1">
      <c r="A72" s="49" t="s">
        <v>258</v>
      </c>
      <c r="B72" s="50"/>
      <c r="C72" s="50"/>
      <c r="D72" s="50"/>
      <c r="E72" s="50"/>
      <c r="F72" s="50"/>
      <c r="G72" s="50"/>
      <c r="H72" s="51"/>
    </row>
    <row r="73" ht="15.75" customHeight="1">
      <c r="A73" s="52"/>
      <c r="B73" s="53"/>
      <c r="C73" s="53"/>
      <c r="D73" s="53"/>
      <c r="E73" s="53"/>
      <c r="F73" s="53"/>
      <c r="G73" s="53"/>
      <c r="H73" s="54"/>
    </row>
    <row r="74" ht="15.75" customHeight="1">
      <c r="A74" s="32"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39:H39"/>
    <mergeCell ref="D40:H40"/>
    <mergeCell ref="D41:H41"/>
    <mergeCell ref="D42:H42"/>
    <mergeCell ref="A44:F44"/>
    <mergeCell ref="B47:H47"/>
    <mergeCell ref="B48:H48"/>
    <mergeCell ref="B61:H61"/>
    <mergeCell ref="A63:H63"/>
    <mergeCell ref="A64:H66"/>
    <mergeCell ref="A68:F68"/>
    <mergeCell ref="B70:H70"/>
    <mergeCell ref="A71:H71"/>
    <mergeCell ref="A72:H73"/>
    <mergeCell ref="B49:H49"/>
    <mergeCell ref="B50:H50"/>
    <mergeCell ref="A52:H52"/>
    <mergeCell ref="A53:H55"/>
    <mergeCell ref="B58:H58"/>
    <mergeCell ref="B59:H59"/>
    <mergeCell ref="B60:H60"/>
    <mergeCell ref="C4:G4"/>
    <mergeCell ref="C5:G5"/>
    <mergeCell ref="C6:G6"/>
    <mergeCell ref="C7:G7"/>
    <mergeCell ref="C8:G8"/>
    <mergeCell ref="A10:F10"/>
    <mergeCell ref="B12:H12"/>
    <mergeCell ref="B13:H13"/>
    <mergeCell ref="A14:H14"/>
    <mergeCell ref="A17:H17"/>
    <mergeCell ref="A18:H19"/>
    <mergeCell ref="A21:F21"/>
    <mergeCell ref="B23:H23"/>
    <mergeCell ref="B24:H24"/>
    <mergeCell ref="D29:E29"/>
    <mergeCell ref="F29:H29"/>
    <mergeCell ref="B27:C27"/>
    <mergeCell ref="D27:E27"/>
    <mergeCell ref="F27:H27"/>
    <mergeCell ref="B28:C28"/>
    <mergeCell ref="D28:E28"/>
    <mergeCell ref="F28:H28"/>
    <mergeCell ref="B29:C29"/>
    <mergeCell ref="D32:E32"/>
    <mergeCell ref="F32:H32"/>
    <mergeCell ref="B30:C30"/>
    <mergeCell ref="D30:E30"/>
    <mergeCell ref="F30:H30"/>
    <mergeCell ref="B31:C31"/>
    <mergeCell ref="D31:E31"/>
    <mergeCell ref="F31:H31"/>
    <mergeCell ref="B32:C32"/>
    <mergeCell ref="B33:C33"/>
    <mergeCell ref="D33:E33"/>
    <mergeCell ref="F33:H33"/>
    <mergeCell ref="B34:C34"/>
    <mergeCell ref="D34:E34"/>
    <mergeCell ref="F34:H34"/>
    <mergeCell ref="D38:H38"/>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8.0</v>
      </c>
      <c r="D5" s="26"/>
      <c r="E5" s="26"/>
      <c r="F5" s="26"/>
      <c r="G5" s="27"/>
    </row>
    <row r="6" ht="15.75" customHeight="1">
      <c r="B6" s="45" t="s">
        <v>142</v>
      </c>
      <c r="C6" s="25">
        <f>H10+H21+H44+H68</f>
        <v>100</v>
      </c>
      <c r="D6" s="26"/>
      <c r="E6" s="26"/>
      <c r="F6" s="26"/>
      <c r="G6" s="27"/>
      <c r="I6" s="5"/>
    </row>
    <row r="7" ht="15.75" customHeight="1">
      <c r="B7" s="45" t="s">
        <v>184</v>
      </c>
      <c r="C7" s="25">
        <f>B49+B60</f>
        <v>0</v>
      </c>
      <c r="D7" s="26"/>
      <c r="E7" s="26"/>
      <c r="F7" s="26"/>
      <c r="G7" s="27"/>
    </row>
    <row r="8" ht="15.75" customHeight="1">
      <c r="B8" s="45" t="s">
        <v>185</v>
      </c>
      <c r="C8" s="25" t="str">
        <f>IF(H44&lt;=0, "❌ ERROR: La Actividad 1 debe tener un tiempo mayor a 0.", IF(H21&gt;60, "❌ ERROR: El 'Área de Conocimiento' no puede exceder los 60 min.", IF((H10+H21+H44)=100, "❌ ERROR: El tiempo total debe ser de al menos 100 min.", "✅ VALIDACIÓN CORRECTA")))</f>
        <v>✅ VALIDACIÓN CORRECTA</v>
      </c>
      <c r="D8" s="26"/>
      <c r="E8" s="26"/>
      <c r="F8" s="26"/>
      <c r="G8" s="27"/>
      <c r="I8" s="5"/>
      <c r="J8" s="5"/>
      <c r="K8" s="5"/>
    </row>
    <row r="9" ht="15.75" customHeight="1"/>
    <row r="10" ht="15.75" customHeight="1">
      <c r="A10" s="46" t="s">
        <v>186</v>
      </c>
      <c r="G10" s="40" t="s">
        <v>144</v>
      </c>
      <c r="H10" s="47">
        <v>10.0</v>
      </c>
    </row>
    <row r="11" ht="15.75" customHeight="1">
      <c r="G11" s="32" t="s">
        <v>187</v>
      </c>
    </row>
    <row r="12" ht="15.75" customHeight="1">
      <c r="A12" s="36" t="s">
        <v>188</v>
      </c>
      <c r="B12" s="37" t="s">
        <v>251</v>
      </c>
      <c r="C12" s="26"/>
      <c r="D12" s="26"/>
      <c r="E12" s="26"/>
      <c r="F12" s="26"/>
      <c r="G12" s="26"/>
      <c r="H12" s="27"/>
    </row>
    <row r="13" ht="15.75" customHeight="1">
      <c r="A13" s="38" t="s">
        <v>144</v>
      </c>
      <c r="B13" s="25"/>
      <c r="C13" s="26"/>
      <c r="D13" s="26"/>
      <c r="E13" s="26"/>
      <c r="F13" s="26"/>
      <c r="G13" s="26"/>
      <c r="H13" s="27"/>
    </row>
    <row r="14" ht="15.75" customHeight="1">
      <c r="A14" s="48" t="s">
        <v>190</v>
      </c>
      <c r="B14" s="26"/>
      <c r="C14" s="26"/>
      <c r="D14" s="26"/>
      <c r="E14" s="26"/>
      <c r="F14" s="26"/>
      <c r="G14" s="26"/>
      <c r="H14" s="27"/>
    </row>
    <row r="15" ht="15.75" customHeight="1">
      <c r="A15" s="49" t="s">
        <v>252</v>
      </c>
      <c r="B15" s="50"/>
      <c r="C15" s="50"/>
      <c r="D15" s="50"/>
      <c r="E15" s="50"/>
      <c r="F15" s="50"/>
      <c r="G15" s="50"/>
      <c r="H15" s="50"/>
    </row>
    <row r="16" ht="15.75" customHeight="1">
      <c r="A16" s="63"/>
    </row>
    <row r="17" ht="15.75" customHeight="1">
      <c r="A17" s="48" t="s">
        <v>192</v>
      </c>
      <c r="B17" s="26"/>
      <c r="C17" s="26"/>
      <c r="D17" s="26"/>
      <c r="E17" s="26"/>
      <c r="F17" s="26"/>
      <c r="G17" s="26"/>
      <c r="H17" s="27"/>
    </row>
    <row r="18" ht="15.75" customHeight="1">
      <c r="A18" s="49" t="s">
        <v>253</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47">
        <v>45.0</v>
      </c>
      <c r="I21" s="5"/>
    </row>
    <row r="22" ht="15.75" customHeight="1">
      <c r="G22" s="32" t="s">
        <v>195</v>
      </c>
    </row>
    <row r="23" ht="15.75" customHeight="1">
      <c r="A23" s="36" t="s">
        <v>196</v>
      </c>
      <c r="B23" s="37" t="s">
        <v>47</v>
      </c>
      <c r="C23" s="26"/>
      <c r="D23" s="26"/>
      <c r="E23" s="26"/>
      <c r="F23" s="26"/>
      <c r="G23" s="26"/>
      <c r="H23" s="27"/>
    </row>
    <row r="24" ht="15.75" customHeight="1">
      <c r="A24" s="36" t="s">
        <v>196</v>
      </c>
      <c r="B24" s="37" t="s">
        <v>248</v>
      </c>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5 Gestión documental y Modelos de Workflow BPO")</f>
        <v>Unidad 5 Gestión documental y Modelos de Workflow BPO</v>
      </c>
      <c r="C28" s="27"/>
      <c r="D28" s="25" t="str">
        <f>IFERROR(__xludf.DUMMYFUNCTION("FILTER('Diseño'!E:E,'Diseño'!H:H=$C$5)"),"Modelos Workflow: Integración, gestión documental y transformación digital.")</f>
        <v>Modelos Workflow: Integración, gestión documental y transformación digital.</v>
      </c>
      <c r="E28" s="27"/>
      <c r="F28" s="25" t="str">
        <f>IFERROR(__xludf.DUMMYFUNCTION("FILTER('Diseño'!F:F,'Diseño'!H:H=$C$5)"),"Desafios de integración.")</f>
        <v>Desafios de integración.</v>
      </c>
      <c r="G28" s="26"/>
      <c r="H28" s="27"/>
    </row>
    <row r="29" ht="15.75" customHeight="1">
      <c r="A29" s="28">
        <v>2.0</v>
      </c>
      <c r="B29" s="25" t="str">
        <f>IFERROR(__xludf.DUMMYFUNCTION("""COMPUTED_VALUE"""),"Unidad 5 Gestión documental y Modelos de Workflow BPO")</f>
        <v>Unidad 5 Gestión documental y Modelos de Workflow BPO</v>
      </c>
      <c r="C29" s="27"/>
      <c r="D29" s="25" t="str">
        <f>IFERROR(__xludf.DUMMYFUNCTION("""COMPUTED_VALUE"""),"Modelos Workflow: Integración, gestión documental y transformación digital.")</f>
        <v>Modelos Workflow: Integración, gestión documental y transformación digital.</v>
      </c>
      <c r="E29" s="27"/>
      <c r="F29" s="25" t="str">
        <f>IFERROR(__xludf.DUMMYFUNCTION("""COMPUTED_VALUE"""),"Impacto en la transformación digital.")</f>
        <v>Impacto en la transformación digital.</v>
      </c>
      <c r="G29" s="26"/>
      <c r="H29" s="27"/>
    </row>
    <row r="30" ht="15.75" customHeight="1">
      <c r="A30" s="28">
        <v>3.0</v>
      </c>
      <c r="B30" s="25" t="str">
        <f>IFERROR(__xludf.DUMMYFUNCTION("""COMPUTED_VALUE"""),"Unidad 5 Gestión documental y Modelos de Workflow BPO")</f>
        <v>Unidad 5 Gestión documental y Modelos de Workflow BPO</v>
      </c>
      <c r="C30" s="27"/>
      <c r="D30" s="25" t="str">
        <f>IFERROR(__xludf.DUMMYFUNCTION("""COMPUTED_VALUE"""),"Modelos Workflow: Integración, gestión documental y transformación digital.")</f>
        <v>Modelos Workflow: Integración, gestión documental y transformación digital.</v>
      </c>
      <c r="E30" s="27"/>
      <c r="F30" s="25" t="str">
        <f>IFERROR(__xludf.DUMMYFUNCTION("""COMPUTED_VALUE"""),"Estratégias para la adaptación a la transformación digital.")</f>
        <v>Estratégias para la adaptación a la transformación digital.</v>
      </c>
      <c r="G30" s="26"/>
      <c r="H30" s="27"/>
    </row>
    <row r="31" ht="15.75" customHeight="1">
      <c r="A31" s="28">
        <v>4.0</v>
      </c>
      <c r="B31" s="25" t="str">
        <f>IFERROR(__xludf.DUMMYFUNCTION("""COMPUTED_VALUE"""),"Unidad 5 Gestión documental y Modelos de Workflow BPO")</f>
        <v>Unidad 5 Gestión documental y Modelos de Workflow BPO</v>
      </c>
      <c r="C31" s="27"/>
      <c r="D31" s="25" t="str">
        <f>IFERROR(__xludf.DUMMYFUNCTION("""COMPUTED_VALUE"""),"Modelos Workflow: Integración, gestión documental y transformación digital.")</f>
        <v>Modelos Workflow: Integración, gestión documental y transformación digital.</v>
      </c>
      <c r="E31" s="27"/>
      <c r="F31" s="25" t="str">
        <f>IFERROR(__xludf.DUMMYFUNCTION("""COMPUTED_VALUE"""),"Evalución de resultados.")</f>
        <v>Evalución de resultados.</v>
      </c>
      <c r="G31" s="26"/>
      <c r="H31" s="27"/>
    </row>
    <row r="32" ht="15.75" customHeight="1">
      <c r="A32" s="28">
        <v>5.0</v>
      </c>
      <c r="B32" s="25" t="str">
        <f>IFERROR(__xludf.DUMMYFUNCTION("""COMPUTED_VALUE"""),"Unidad 5 Gestión documental y Modelos de Workflow BPO")</f>
        <v>Unidad 5 Gestión documental y Modelos de Workflow BPO</v>
      </c>
      <c r="C32" s="27"/>
      <c r="D32" s="25" t="str">
        <f>IFERROR(__xludf.DUMMYFUNCTION("""COMPUTED_VALUE"""),"Modelos Workflow: Integración, gestión documental y transformación digital.")</f>
        <v>Modelos Workflow: Integración, gestión documental y transformación digital.</v>
      </c>
      <c r="E32" s="27"/>
      <c r="F32" s="25" t="str">
        <f>IFERROR(__xludf.DUMMYFUNCTION("""COMPUTED_VALUE"""),"Tendencias actuales de gestión documental.")</f>
        <v>Tendencias actuales de gestión documental.</v>
      </c>
      <c r="G32" s="26"/>
      <c r="H32" s="27"/>
    </row>
    <row r="33" ht="15.75" customHeight="1">
      <c r="A33" s="28">
        <v>6.0</v>
      </c>
      <c r="B33" s="25" t="str">
        <f>IFERROR(__xludf.DUMMYFUNCTION("""COMPUTED_VALUE"""),"Unidad 5 Gestión documental y Modelos de Workflow BPO")</f>
        <v>Unidad 5 Gestión documental y Modelos de Workflow BPO</v>
      </c>
      <c r="C33" s="27"/>
      <c r="D33" s="25" t="str">
        <f>IFERROR(__xludf.DUMMYFUNCTION("""COMPUTED_VALUE"""),"Conceptos y beneficios de Business Process Outsourcing (BPO)")</f>
        <v>Conceptos y beneficios de Business Process Outsourcing (BPO)</v>
      </c>
      <c r="E33" s="27"/>
      <c r="F33" s="25" t="str">
        <f>IFERROR(__xludf.DUMMYFUNCTION("""COMPUTED_VALUE"""),"Conceptos, beneficios, alcance del BPO.")</f>
        <v>Conceptos, beneficios, alcance del BPO.</v>
      </c>
      <c r="G33" s="26"/>
      <c r="H33" s="27"/>
    </row>
    <row r="34" ht="15.75" customHeight="1">
      <c r="A34" s="28">
        <v>7.0</v>
      </c>
      <c r="B34" s="25" t="str">
        <f>IFERROR(__xludf.DUMMYFUNCTION("""COMPUTED_VALUE"""),"Unidad 5 Gestión documental y Modelos de Workflow BPO")</f>
        <v>Unidad 5 Gestión documental y Modelos de Workflow BPO</v>
      </c>
      <c r="C34" s="27"/>
      <c r="D34" s="25" t="str">
        <f>IFERROR(__xludf.DUMMYFUNCTION("""COMPUTED_VALUE"""),"Conceptos y beneficios de Business Process Outsourcing (BPO)")</f>
        <v>Conceptos y beneficios de Business Process Outsourcing (BPO)</v>
      </c>
      <c r="E34" s="27"/>
      <c r="F34" s="25" t="str">
        <f>IFERROR(__xludf.DUMMYFUNCTION("""COMPUTED_VALUE"""),"Impacto en la subcontratación de servicios tecnológicos.")</f>
        <v>Impacto en la subcontratación de servicios tecnológicos.</v>
      </c>
      <c r="G34" s="26"/>
      <c r="H34" s="27"/>
    </row>
    <row r="35" ht="15.75" customHeight="1">
      <c r="B35" s="59" t="str">
        <f>IFERROR(__xludf.DUMMYFUNCTION("""COMPUTED_VALUE"""),"Unidad 5 Gestión documental y Modelos de Workflow BPO")</f>
        <v>Unidad 5 Gestión documental y Modelos de Workflow BPO</v>
      </c>
      <c r="D35" s="59" t="str">
        <f>IFERROR(__xludf.DUMMYFUNCTION("""COMPUTED_VALUE"""),"Conceptos y beneficios de Business Process Outsourcing (BPO)")</f>
        <v>Conceptos y beneficios de Business Process Outsourcing (BPO)</v>
      </c>
      <c r="F35" s="59" t="str">
        <f>IFERROR(__xludf.DUMMYFUNCTION("""COMPUTED_VALUE"""),"Impacto en la subcontratación: oportunidades, desafíos.")</f>
        <v>Impacto en la subcontratación: oportunidades, desafíos.</v>
      </c>
    </row>
    <row r="36" ht="15.75" customHeight="1">
      <c r="A36" s="56" t="s">
        <v>201</v>
      </c>
      <c r="B36" s="59" t="str">
        <f>IFERROR(__xludf.DUMMYFUNCTION("""COMPUTED_VALUE"""),"Unidad 5 Gestión documental y Modelos de Workflow BPO")</f>
        <v>Unidad 5 Gestión documental y Modelos de Workflow BPO</v>
      </c>
      <c r="D36" s="59" t="str">
        <f>IFERROR(__xludf.DUMMYFUNCTION("""COMPUTED_VALUE"""),"Conceptos y beneficios de Business Process Outsourcing (BPO)")</f>
        <v>Conceptos y beneficios de Business Process Outsourcing (BPO)</v>
      </c>
      <c r="F36" s="59" t="str">
        <f>IFERROR(__xludf.DUMMYFUNCTION("""COMPUTED_VALUE"""),"Análisis de costos.")</f>
        <v>Análisis de costos.</v>
      </c>
    </row>
    <row r="37" ht="15.75" customHeight="1">
      <c r="A37" s="5"/>
      <c r="B37" s="5"/>
      <c r="C37" s="5"/>
      <c r="D37" s="5"/>
      <c r="E37" s="5"/>
      <c r="F37" s="5"/>
      <c r="G37" s="5"/>
      <c r="H37" s="5"/>
    </row>
    <row r="38" ht="15.75" customHeight="1">
      <c r="A38" s="57" t="s">
        <v>202</v>
      </c>
      <c r="B38" s="57" t="s">
        <v>203</v>
      </c>
      <c r="C38" s="60" t="s">
        <v>204</v>
      </c>
      <c r="D38" s="61" t="s">
        <v>144</v>
      </c>
      <c r="E38" s="26"/>
      <c r="F38" s="26"/>
      <c r="G38" s="26"/>
      <c r="H38" s="27"/>
    </row>
    <row r="39" ht="15.75" customHeight="1">
      <c r="A39" s="28" t="s">
        <v>205</v>
      </c>
      <c r="B39" s="28" t="s">
        <v>206</v>
      </c>
      <c r="C39" s="28"/>
      <c r="D39" s="25"/>
      <c r="E39" s="26"/>
      <c r="F39" s="26"/>
      <c r="G39" s="26"/>
      <c r="H39" s="27"/>
    </row>
    <row r="40" ht="15.75" customHeight="1">
      <c r="A40" s="28" t="s">
        <v>207</v>
      </c>
      <c r="B40" s="28" t="s">
        <v>206</v>
      </c>
      <c r="C40" s="28" t="s">
        <v>208</v>
      </c>
      <c r="D40" s="25"/>
      <c r="E40" s="26"/>
      <c r="F40" s="26"/>
      <c r="G40" s="26"/>
      <c r="H40" s="27"/>
    </row>
    <row r="41" ht="15.75" customHeight="1">
      <c r="A41" s="28" t="s">
        <v>209</v>
      </c>
      <c r="B41" s="28" t="s">
        <v>210</v>
      </c>
      <c r="C41" s="28"/>
      <c r="D41" s="25"/>
      <c r="E41" s="26"/>
      <c r="F41" s="26"/>
      <c r="G41" s="26"/>
      <c r="H41" s="27"/>
    </row>
    <row r="42" ht="15.75" customHeight="1">
      <c r="A42" s="28" t="s">
        <v>211</v>
      </c>
      <c r="B42" s="28" t="s">
        <v>206</v>
      </c>
      <c r="C42" s="28"/>
      <c r="D42" s="25"/>
      <c r="E42" s="26"/>
      <c r="F42" s="26"/>
      <c r="G42" s="26"/>
      <c r="H42" s="27"/>
    </row>
    <row r="43" ht="15.75" customHeight="1"/>
    <row r="44" ht="15.75" customHeight="1">
      <c r="A44" s="46" t="s">
        <v>212</v>
      </c>
      <c r="G44" s="40" t="s">
        <v>144</v>
      </c>
      <c r="H44" s="47">
        <v>30.0</v>
      </c>
    </row>
    <row r="45" ht="15.75" customHeight="1">
      <c r="G45" s="32" t="s">
        <v>213</v>
      </c>
    </row>
    <row r="46" ht="15.75" customHeight="1">
      <c r="A46" s="32" t="s">
        <v>214</v>
      </c>
    </row>
    <row r="47" ht="15.75" customHeight="1">
      <c r="A47" s="36" t="s">
        <v>215</v>
      </c>
      <c r="B47" s="25" t="s">
        <v>242</v>
      </c>
      <c r="C47" s="26"/>
      <c r="D47" s="26"/>
      <c r="E47" s="26"/>
      <c r="F47" s="26"/>
      <c r="G47" s="26"/>
      <c r="H47" s="27"/>
    </row>
    <row r="48" ht="15.75" customHeight="1">
      <c r="A48" s="36" t="s">
        <v>216</v>
      </c>
      <c r="B48" s="25" t="s">
        <v>235</v>
      </c>
      <c r="C48" s="26"/>
      <c r="D48" s="26"/>
      <c r="E48" s="26"/>
      <c r="F48" s="26"/>
      <c r="G48" s="26"/>
      <c r="H48" s="27"/>
    </row>
    <row r="49" ht="15.75" customHeight="1">
      <c r="A49" s="36" t="s">
        <v>184</v>
      </c>
      <c r="B49" s="62">
        <v>0.0</v>
      </c>
      <c r="C49" s="26"/>
      <c r="D49" s="26"/>
      <c r="E49" s="26"/>
      <c r="F49" s="26"/>
      <c r="G49" s="26"/>
      <c r="H49" s="27"/>
    </row>
    <row r="50" ht="15.75" customHeight="1">
      <c r="A50" s="36" t="s">
        <v>144</v>
      </c>
      <c r="B50" s="37">
        <v>10.0</v>
      </c>
      <c r="C50" s="26"/>
      <c r="D50" s="26"/>
      <c r="E50" s="26"/>
      <c r="F50" s="26"/>
      <c r="G50" s="26"/>
      <c r="H50" s="27"/>
    </row>
    <row r="51" ht="15.75" customHeight="1">
      <c r="A51" s="42" t="s">
        <v>218</v>
      </c>
      <c r="B51" s="5"/>
      <c r="C51" s="5"/>
      <c r="D51" s="5"/>
      <c r="E51" s="5"/>
      <c r="F51" s="5"/>
      <c r="G51" s="5"/>
      <c r="H51" s="5"/>
    </row>
    <row r="52" ht="15.75" customHeight="1">
      <c r="A52" s="48" t="s">
        <v>219</v>
      </c>
      <c r="B52" s="26"/>
      <c r="C52" s="26"/>
      <c r="D52" s="26"/>
      <c r="E52" s="26"/>
      <c r="F52" s="26"/>
      <c r="G52" s="26"/>
      <c r="H52" s="27"/>
    </row>
    <row r="53" ht="15.75" customHeight="1">
      <c r="A53" s="49" t="s">
        <v>257</v>
      </c>
      <c r="B53" s="50"/>
      <c r="C53" s="50"/>
      <c r="D53" s="50"/>
      <c r="E53" s="50"/>
      <c r="F53" s="50"/>
      <c r="G53" s="50"/>
      <c r="H53" s="51"/>
    </row>
    <row r="54" ht="15.75" customHeight="1">
      <c r="A54" s="63"/>
      <c r="H54" s="64"/>
    </row>
    <row r="55" ht="15.75" customHeight="1">
      <c r="A55" s="52"/>
      <c r="B55" s="53"/>
      <c r="C55" s="53"/>
      <c r="D55" s="53"/>
      <c r="E55" s="53"/>
      <c r="F55" s="53"/>
      <c r="G55" s="53"/>
      <c r="H55" s="54"/>
    </row>
    <row r="56" ht="15.75" customHeight="1"/>
    <row r="57" ht="15.75" customHeight="1">
      <c r="A57" s="32" t="s">
        <v>221</v>
      </c>
    </row>
    <row r="58" ht="15.75" customHeight="1">
      <c r="A58" s="36" t="s">
        <v>215</v>
      </c>
      <c r="B58" s="25"/>
      <c r="C58" s="26"/>
      <c r="D58" s="26"/>
      <c r="E58" s="26"/>
      <c r="F58" s="26"/>
      <c r="G58" s="26"/>
      <c r="H58" s="27"/>
    </row>
    <row r="59" ht="15.75" customHeight="1">
      <c r="A59" s="36" t="s">
        <v>216</v>
      </c>
      <c r="B59" s="25"/>
      <c r="C59" s="26"/>
      <c r="D59" s="26"/>
      <c r="E59" s="26"/>
      <c r="F59" s="26"/>
      <c r="G59" s="26"/>
      <c r="H59" s="27"/>
    </row>
    <row r="60" ht="15.75" customHeight="1">
      <c r="A60" s="36" t="s">
        <v>184</v>
      </c>
      <c r="B60" s="62"/>
      <c r="C60" s="26"/>
      <c r="D60" s="26"/>
      <c r="E60" s="26"/>
      <c r="F60" s="26"/>
      <c r="G60" s="26"/>
      <c r="H60" s="27"/>
    </row>
    <row r="61" ht="15.75" customHeight="1">
      <c r="A61" s="36" t="s">
        <v>144</v>
      </c>
      <c r="B61" s="62"/>
      <c r="C61" s="26"/>
      <c r="D61" s="26"/>
      <c r="E61" s="26"/>
      <c r="F61" s="26"/>
      <c r="G61" s="26"/>
      <c r="H61" s="27"/>
    </row>
    <row r="62" ht="15.75" customHeight="1">
      <c r="A62" s="65" t="s">
        <v>222</v>
      </c>
      <c r="B62" s="5"/>
      <c r="C62" s="5"/>
      <c r="D62" s="5"/>
      <c r="E62" s="5"/>
      <c r="F62" s="5"/>
      <c r="G62" s="5"/>
      <c r="H62" s="5"/>
    </row>
    <row r="63" ht="15.75" customHeight="1">
      <c r="A63" s="48" t="s">
        <v>219</v>
      </c>
      <c r="B63" s="26"/>
      <c r="C63" s="26"/>
      <c r="D63" s="26"/>
      <c r="E63" s="26"/>
      <c r="F63" s="26"/>
      <c r="G63" s="26"/>
      <c r="H63" s="27"/>
    </row>
    <row r="64" ht="15.75" customHeight="1">
      <c r="A64" s="66"/>
      <c r="B64" s="50"/>
      <c r="C64" s="50"/>
      <c r="D64" s="50"/>
      <c r="E64" s="50"/>
      <c r="F64" s="50"/>
      <c r="G64" s="50"/>
      <c r="H64" s="51"/>
    </row>
    <row r="65" ht="15.75" customHeight="1">
      <c r="A65" s="63"/>
      <c r="H65" s="64"/>
    </row>
    <row r="66" ht="15.75" customHeight="1">
      <c r="A66" s="52"/>
      <c r="B66" s="53"/>
      <c r="C66" s="53"/>
      <c r="D66" s="53"/>
      <c r="E66" s="53"/>
      <c r="F66" s="53"/>
      <c r="G66" s="53"/>
      <c r="H66" s="54"/>
    </row>
    <row r="67" ht="15.75" customHeight="1"/>
    <row r="68" ht="15.75" customHeight="1">
      <c r="A68" s="46" t="s">
        <v>223</v>
      </c>
      <c r="G68" s="40" t="s">
        <v>144</v>
      </c>
      <c r="H68" s="47">
        <v>15.0</v>
      </c>
    </row>
    <row r="69" ht="15.75" customHeight="1">
      <c r="G69" s="32" t="s">
        <v>224</v>
      </c>
    </row>
    <row r="70" ht="15.75" customHeight="1">
      <c r="A70" s="36" t="s">
        <v>144</v>
      </c>
      <c r="B70" s="62"/>
      <c r="C70" s="26"/>
      <c r="D70" s="26"/>
      <c r="E70" s="26"/>
      <c r="F70" s="26"/>
      <c r="G70" s="26"/>
      <c r="H70" s="27"/>
    </row>
    <row r="71" ht="15.75" customHeight="1">
      <c r="A71" s="61" t="s">
        <v>225</v>
      </c>
      <c r="B71" s="26"/>
      <c r="C71" s="26"/>
      <c r="D71" s="26"/>
      <c r="E71" s="26"/>
      <c r="F71" s="26"/>
      <c r="G71" s="26"/>
      <c r="H71" s="27"/>
    </row>
    <row r="72" ht="15.75" customHeight="1">
      <c r="A72" s="49" t="s">
        <v>258</v>
      </c>
      <c r="B72" s="50"/>
      <c r="C72" s="50"/>
      <c r="D72" s="50"/>
      <c r="E72" s="50"/>
      <c r="F72" s="50"/>
      <c r="G72" s="50"/>
      <c r="H72" s="51"/>
    </row>
    <row r="73" ht="15.75" customHeight="1">
      <c r="A73" s="52"/>
      <c r="B73" s="53"/>
      <c r="C73" s="53"/>
      <c r="D73" s="53"/>
      <c r="E73" s="53"/>
      <c r="F73" s="53"/>
      <c r="G73" s="53"/>
      <c r="H73" s="54"/>
    </row>
    <row r="74" ht="15.75" customHeight="1">
      <c r="A74" s="32"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9.0</v>
      </c>
      <c r="D5" s="26"/>
      <c r="E5" s="26"/>
      <c r="F5" s="26"/>
      <c r="G5" s="27"/>
    </row>
    <row r="6" ht="15.75" customHeight="1">
      <c r="B6" s="45" t="s">
        <v>142</v>
      </c>
      <c r="C6" s="25">
        <f>H10+H21+H44+H68</f>
        <v>110</v>
      </c>
      <c r="D6" s="26"/>
      <c r="E6" s="26"/>
      <c r="F6" s="26"/>
      <c r="G6" s="27"/>
      <c r="I6" s="5"/>
    </row>
    <row r="7" ht="15.75" customHeight="1">
      <c r="B7" s="45" t="s">
        <v>184</v>
      </c>
      <c r="C7" s="25">
        <f>B49+B60</f>
        <v>0</v>
      </c>
      <c r="D7" s="26"/>
      <c r="E7" s="26"/>
      <c r="F7" s="26"/>
      <c r="G7" s="27"/>
    </row>
    <row r="8" ht="15.75" customHeight="1">
      <c r="B8" s="45" t="s">
        <v>185</v>
      </c>
      <c r="C8" s="25"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6"/>
      <c r="E8" s="26"/>
      <c r="F8" s="26"/>
      <c r="G8" s="27"/>
      <c r="I8" s="5"/>
      <c r="J8" s="5"/>
      <c r="K8" s="5"/>
    </row>
    <row r="9" ht="15.75" customHeight="1"/>
    <row r="10" ht="15.75" customHeight="1">
      <c r="A10" s="46" t="s">
        <v>186</v>
      </c>
      <c r="G10" s="40" t="s">
        <v>144</v>
      </c>
      <c r="H10" s="47">
        <v>10.0</v>
      </c>
    </row>
    <row r="11" ht="15.75" customHeight="1">
      <c r="G11" s="32" t="s">
        <v>187</v>
      </c>
    </row>
    <row r="12" ht="15.75" customHeight="1">
      <c r="A12" s="36" t="s">
        <v>188</v>
      </c>
      <c r="B12" s="37" t="s">
        <v>228</v>
      </c>
      <c r="C12" s="26"/>
      <c r="D12" s="26"/>
      <c r="E12" s="26"/>
      <c r="F12" s="26"/>
      <c r="G12" s="26"/>
      <c r="H12" s="27"/>
    </row>
    <row r="13" ht="15.75" customHeight="1">
      <c r="A13" s="38" t="s">
        <v>144</v>
      </c>
      <c r="B13" s="25"/>
      <c r="C13" s="26"/>
      <c r="D13" s="26"/>
      <c r="E13" s="26"/>
      <c r="F13" s="26"/>
      <c r="G13" s="26"/>
      <c r="H13" s="27"/>
    </row>
    <row r="14" ht="15.75" customHeight="1">
      <c r="A14" s="48" t="s">
        <v>190</v>
      </c>
      <c r="B14" s="26"/>
      <c r="C14" s="26"/>
      <c r="D14" s="26"/>
      <c r="E14" s="26"/>
      <c r="F14" s="26"/>
      <c r="G14" s="26"/>
      <c r="H14" s="27"/>
    </row>
    <row r="15" ht="15.75" customHeight="1">
      <c r="A15" s="49" t="s">
        <v>259</v>
      </c>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49" t="s">
        <v>260</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47">
        <v>60.0</v>
      </c>
      <c r="I21" s="5"/>
    </row>
    <row r="22" ht="15.75" customHeight="1">
      <c r="G22" s="32" t="s">
        <v>195</v>
      </c>
    </row>
    <row r="23" ht="15.75" customHeight="1">
      <c r="A23" s="36" t="s">
        <v>196</v>
      </c>
      <c r="B23" s="25"/>
      <c r="C23" s="26"/>
      <c r="D23" s="26"/>
      <c r="E23" s="26"/>
      <c r="F23" s="26"/>
      <c r="G23" s="26"/>
      <c r="H23" s="27"/>
    </row>
    <row r="24" ht="15.75" customHeight="1">
      <c r="A24" s="36" t="s">
        <v>196</v>
      </c>
      <c r="B24" s="25"/>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5 Gestión documental y Modelos de Workflow BPO")</f>
        <v>Unidad 5 Gestión documental y Modelos de Workflow BPO</v>
      </c>
      <c r="C28" s="27"/>
      <c r="D28" s="25" t="str">
        <f>IFERROR(__xludf.DUMMYFUNCTION("FILTER('Diseño'!E:E,'Diseño'!H:H=$C$5)"),"Conceptos y beneficios de Business Process Outsourcing (BPO)")</f>
        <v>Conceptos y beneficios de Business Process Outsourcing (BPO)</v>
      </c>
      <c r="E28" s="27"/>
      <c r="F28" s="25" t="str">
        <f>IFERROR(__xludf.DUMMYFUNCTION("FILTER('Diseño'!F:F,'Diseño'!H:H=$C$5)"),"Selección del proveedor y estudios de proveedores.")</f>
        <v>Selección del proveedor y estudios de proveedores.</v>
      </c>
      <c r="G28" s="26"/>
      <c r="H28" s="27"/>
    </row>
    <row r="29" ht="15.75" customHeight="1">
      <c r="A29" s="28">
        <v>2.0</v>
      </c>
      <c r="B29" s="25" t="str">
        <f>IFERROR(__xludf.DUMMYFUNCTION("""COMPUTED_VALUE"""),"Unidad 5 Gestión documental y Modelos de Workflow BPO")</f>
        <v>Unidad 5 Gestión documental y Modelos de Workflow BPO</v>
      </c>
      <c r="C29" s="27"/>
      <c r="D29" s="25" t="str">
        <f>IFERROR(__xludf.DUMMYFUNCTION("""COMPUTED_VALUE"""),"Conceptos y beneficios de Business Process Outsourcing (BPO)")</f>
        <v>Conceptos y beneficios de Business Process Outsourcing (BPO)</v>
      </c>
      <c r="E29" s="27"/>
      <c r="F29" s="25" t="str">
        <f>IFERROR(__xludf.DUMMYFUNCTION("""COMPUTED_VALUE"""),"Control de calidad y gestión de relación.")</f>
        <v>Control de calidad y gestión de relación.</v>
      </c>
      <c r="G29" s="26"/>
      <c r="H29" s="27"/>
    </row>
    <row r="30" ht="15.75" customHeight="1">
      <c r="A30" s="28">
        <v>3.0</v>
      </c>
      <c r="B30" s="25" t="str">
        <f>IFERROR(__xludf.DUMMYFUNCTION("""COMPUTED_VALUE"""),"Unidad 5 Gestión documental y Modelos de Workflow BPO")</f>
        <v>Unidad 5 Gestión documental y Modelos de Workflow BPO</v>
      </c>
      <c r="C30" s="27"/>
      <c r="D30" s="25" t="str">
        <f>IFERROR(__xludf.DUMMYFUNCTION("""COMPUTED_VALUE"""),"Conceptos y beneficios de Business Process Outsourcing (BPO)")</f>
        <v>Conceptos y beneficios de Business Process Outsourcing (BPO)</v>
      </c>
      <c r="E30" s="27"/>
      <c r="F30" s="25" t="str">
        <f>IFERROR(__xludf.DUMMYFUNCTION("""COMPUTED_VALUE"""),"Seguridad, cumplimientos y acuerdos.")</f>
        <v>Seguridad, cumplimientos y acuerdos.</v>
      </c>
      <c r="G30" s="26"/>
      <c r="H30" s="27"/>
    </row>
    <row r="31" ht="15.75" customHeight="1">
      <c r="A31" s="28">
        <v>4.0</v>
      </c>
      <c r="B31" s="25" t="str">
        <f>IFERROR(__xludf.DUMMYFUNCTION("""COMPUTED_VALUE"""),"Unidad 6 Automatización de procesos empresariales.")</f>
        <v>Unidad 6 Automatización de procesos empresariales.</v>
      </c>
      <c r="C31" s="27"/>
      <c r="D31" s="25" t="str">
        <f>IFERROR(__xludf.DUMMYFUNCTION("""COMPUTED_VALUE"""),"Introducción a la automatización.")</f>
        <v>Introducción a la automatización.</v>
      </c>
      <c r="E31" s="27"/>
      <c r="F31" s="25" t="str">
        <f>IFERROR(__xludf.DUMMYFUNCTION("""COMPUTED_VALUE"""),"Impacto interno, flexibilidad y escalabilidad.")</f>
        <v>Impacto interno, flexibilidad y escalabilidad.</v>
      </c>
      <c r="G31" s="26"/>
      <c r="H31" s="27"/>
    </row>
    <row r="32" ht="15.75" customHeight="1">
      <c r="A32" s="28">
        <v>5.0</v>
      </c>
      <c r="B32" s="25" t="str">
        <f>IFERROR(__xludf.DUMMYFUNCTION("""COMPUTED_VALUE"""),"Unidad 6 Automatización de procesos empresariales.")</f>
        <v>Unidad 6 Automatización de procesos empresariales.</v>
      </c>
      <c r="C32" s="27"/>
      <c r="D32" s="25" t="str">
        <f>IFERROR(__xludf.DUMMYFUNCTION("""COMPUTED_VALUE"""),"Introducción a la automatización.")</f>
        <v>Introducción a la automatización.</v>
      </c>
      <c r="E32" s="27"/>
      <c r="F32" s="25" t="str">
        <f>IFERROR(__xludf.DUMMYFUNCTION("""COMPUTED_VALUE"""),"Medición de resultados y tendencias futuras.")</f>
        <v>Medición de resultados y tendencias futuras.</v>
      </c>
      <c r="G32" s="26"/>
      <c r="H32" s="27"/>
    </row>
    <row r="33" ht="15.75" customHeight="1">
      <c r="A33" s="28">
        <v>6.0</v>
      </c>
      <c r="B33" s="25" t="str">
        <f>IFERROR(__xludf.DUMMYFUNCTION("""COMPUTED_VALUE"""),"Unidad 6 Automatización de procesos empresariales.")</f>
        <v>Unidad 6 Automatización de procesos empresariales.</v>
      </c>
      <c r="C33" s="27"/>
      <c r="D33" s="25" t="str">
        <f>IFERROR(__xludf.DUMMYFUNCTION("""COMPUTED_VALUE"""),"Introducción a la automatización.")</f>
        <v>Introducción a la automatización.</v>
      </c>
      <c r="E33" s="27"/>
      <c r="F33" s="25" t="str">
        <f>IFERROR(__xludf.DUMMYFUNCTION("""COMPUTED_VALUE"""),"Introducción a la automatización.")</f>
        <v>Introducción a la automatización.</v>
      </c>
      <c r="G33" s="26"/>
      <c r="H33" s="27"/>
    </row>
    <row r="34" ht="15.75" customHeight="1">
      <c r="A34" s="28">
        <v>7.0</v>
      </c>
      <c r="B34" s="25" t="str">
        <f>IFERROR(__xludf.DUMMYFUNCTION("""COMPUTED_VALUE"""),"Unidad 6 Automatización de procesos empresariales.")</f>
        <v>Unidad 6 Automatización de procesos empresariales.</v>
      </c>
      <c r="C34" s="27"/>
      <c r="D34" s="25" t="str">
        <f>IFERROR(__xludf.DUMMYFUNCTION("""COMPUTED_VALUE"""),"Introducción a la automatización.")</f>
        <v>Introducción a la automatización.</v>
      </c>
      <c r="E34" s="27"/>
      <c r="F34" s="25" t="str">
        <f>IFERROR(__xludf.DUMMYFUNCTION("""COMPUTED_VALUE"""),"Tipos de automatizadores y caracteristicas.")</f>
        <v>Tipos de automatizadores y caracteristicas.</v>
      </c>
      <c r="G34" s="26"/>
      <c r="H34" s="27"/>
    </row>
    <row r="35" ht="15.75" customHeight="1">
      <c r="B35" s="59" t="str">
        <f>IFERROR(__xludf.DUMMYFUNCTION("""COMPUTED_VALUE"""),"Unidad 6 Automatización de procesos empresariales.")</f>
        <v>Unidad 6 Automatización de procesos empresariales.</v>
      </c>
      <c r="D35" s="59" t="str">
        <f>IFERROR(__xludf.DUMMYFUNCTION("""COMPUTED_VALUE"""),"Introducción a la automatización.")</f>
        <v>Introducción a la automatización.</v>
      </c>
      <c r="F35" s="59" t="str">
        <f>IFERROR(__xludf.DUMMYFUNCTION("""COMPUTED_VALUE"""),"RPA como opción a estudiar.")</f>
        <v>RPA como opción a estudiar.</v>
      </c>
    </row>
    <row r="36" ht="15.75" customHeight="1">
      <c r="A36" s="56" t="s">
        <v>201</v>
      </c>
      <c r="B36" s="59" t="str">
        <f>IFERROR(__xludf.DUMMYFUNCTION("""COMPUTED_VALUE"""),"Unidad 6 Automatización de procesos empresariales.")</f>
        <v>Unidad 6 Automatización de procesos empresariales.</v>
      </c>
      <c r="D36" s="59" t="str">
        <f>IFERROR(__xludf.DUMMYFUNCTION("""COMPUTED_VALUE"""),"Introducción a la automatización.")</f>
        <v>Introducción a la automatización.</v>
      </c>
      <c r="F36" s="59" t="str">
        <f>IFERROR(__xludf.DUMMYFUNCTION("""COMPUTED_VALUE"""),"Ventajas y desventajas, desafios del RPA (ROI)")</f>
        <v>Ventajas y desventajas, desafios del RPA (ROI)</v>
      </c>
    </row>
    <row r="37" ht="15.75" customHeight="1">
      <c r="A37" s="5"/>
      <c r="B37" s="5" t="str">
        <f>IFERROR(__xludf.DUMMYFUNCTION("""COMPUTED_VALUE"""),"Unidad 6 Automatización de procesos empresariales.")</f>
        <v>Unidad 6 Automatización de procesos empresariales.</v>
      </c>
      <c r="C37" s="5"/>
      <c r="D37" s="5" t="str">
        <f>IFERROR(__xludf.DUMMYFUNCTION("""COMPUTED_VALUE"""),"Introducción a la automatización.")</f>
        <v>Introducción a la automatización.</v>
      </c>
      <c r="E37" s="5"/>
      <c r="F37" s="5" t="str">
        <f>IFERROR(__xludf.DUMMYFUNCTION("""COMPUTED_VALUE"""),"Que es ROI y como se calcula.")</f>
        <v>Que es ROI y como se calcula.</v>
      </c>
      <c r="G37" s="5"/>
      <c r="H37" s="5"/>
    </row>
    <row r="38" ht="15.75" customHeight="1">
      <c r="A38" s="57" t="s">
        <v>202</v>
      </c>
      <c r="B38" s="57" t="s">
        <v>203</v>
      </c>
      <c r="C38" s="60" t="s">
        <v>204</v>
      </c>
      <c r="D38" s="61" t="s">
        <v>144</v>
      </c>
      <c r="E38" s="26"/>
      <c r="F38" s="26"/>
      <c r="G38" s="26"/>
      <c r="H38" s="27"/>
    </row>
    <row r="39" ht="15.75" customHeight="1">
      <c r="A39" s="28" t="s">
        <v>205</v>
      </c>
      <c r="B39" s="28" t="s">
        <v>206</v>
      </c>
      <c r="C39" s="28"/>
      <c r="D39" s="25"/>
      <c r="E39" s="26"/>
      <c r="F39" s="26"/>
      <c r="G39" s="26"/>
      <c r="H39" s="27"/>
    </row>
    <row r="40" ht="15.75" customHeight="1">
      <c r="A40" s="28" t="s">
        <v>207</v>
      </c>
      <c r="B40" s="28" t="s">
        <v>206</v>
      </c>
      <c r="C40" s="28" t="s">
        <v>208</v>
      </c>
      <c r="D40" s="25"/>
      <c r="E40" s="26"/>
      <c r="F40" s="26"/>
      <c r="G40" s="26"/>
      <c r="H40" s="27"/>
    </row>
    <row r="41" ht="15.75" customHeight="1">
      <c r="A41" s="28" t="s">
        <v>209</v>
      </c>
      <c r="B41" s="28" t="s">
        <v>210</v>
      </c>
      <c r="C41" s="28"/>
      <c r="D41" s="25"/>
      <c r="E41" s="26"/>
      <c r="F41" s="26"/>
      <c r="G41" s="26"/>
      <c r="H41" s="27"/>
    </row>
    <row r="42" ht="15.75" customHeight="1">
      <c r="A42" s="28" t="s">
        <v>211</v>
      </c>
      <c r="B42" s="28" t="s">
        <v>206</v>
      </c>
      <c r="C42" s="28"/>
      <c r="D42" s="25"/>
      <c r="E42" s="26"/>
      <c r="F42" s="26"/>
      <c r="G42" s="26"/>
      <c r="H42" s="27"/>
    </row>
    <row r="43" ht="15.75" customHeight="1"/>
    <row r="44" ht="15.75" customHeight="1">
      <c r="A44" s="46" t="s">
        <v>212</v>
      </c>
      <c r="G44" s="40" t="s">
        <v>144</v>
      </c>
      <c r="H44" s="47">
        <v>20.0</v>
      </c>
    </row>
    <row r="45" ht="15.75" customHeight="1">
      <c r="G45" s="32" t="s">
        <v>213</v>
      </c>
    </row>
    <row r="46" ht="15.75" customHeight="1">
      <c r="A46" s="32" t="s">
        <v>214</v>
      </c>
    </row>
    <row r="47" ht="15.75" customHeight="1">
      <c r="A47" s="36" t="s">
        <v>215</v>
      </c>
      <c r="B47" s="25" t="s">
        <v>242</v>
      </c>
      <c r="C47" s="26"/>
      <c r="D47" s="26"/>
      <c r="E47" s="26"/>
      <c r="F47" s="26"/>
      <c r="G47" s="26"/>
      <c r="H47" s="27"/>
    </row>
    <row r="48" ht="15.75" customHeight="1">
      <c r="A48" s="36" t="s">
        <v>216</v>
      </c>
      <c r="B48" s="25" t="s">
        <v>235</v>
      </c>
      <c r="C48" s="26"/>
      <c r="D48" s="26"/>
      <c r="E48" s="26"/>
      <c r="F48" s="26"/>
      <c r="G48" s="26"/>
      <c r="H48" s="27"/>
    </row>
    <row r="49" ht="15.75" customHeight="1">
      <c r="A49" s="36" t="s">
        <v>184</v>
      </c>
      <c r="B49" s="62">
        <v>0.0</v>
      </c>
      <c r="C49" s="26"/>
      <c r="D49" s="26"/>
      <c r="E49" s="26"/>
      <c r="F49" s="26"/>
      <c r="G49" s="26"/>
      <c r="H49" s="27"/>
    </row>
    <row r="50" ht="15.75" customHeight="1">
      <c r="A50" s="36" t="s">
        <v>144</v>
      </c>
      <c r="B50" s="25">
        <v>0.0</v>
      </c>
      <c r="C50" s="26"/>
      <c r="D50" s="26"/>
      <c r="E50" s="26"/>
      <c r="F50" s="26"/>
      <c r="G50" s="26"/>
      <c r="H50" s="27"/>
    </row>
    <row r="51" ht="15.75" customHeight="1">
      <c r="A51" s="42" t="s">
        <v>218</v>
      </c>
      <c r="B51" s="5"/>
      <c r="C51" s="5"/>
      <c r="D51" s="5"/>
      <c r="E51" s="5"/>
      <c r="F51" s="5"/>
      <c r="G51" s="5"/>
      <c r="H51" s="5"/>
    </row>
    <row r="52" ht="15.75" customHeight="1">
      <c r="A52" s="48" t="s">
        <v>219</v>
      </c>
      <c r="B52" s="26"/>
      <c r="C52" s="26"/>
      <c r="D52" s="26"/>
      <c r="E52" s="26"/>
      <c r="F52" s="26"/>
      <c r="G52" s="26"/>
      <c r="H52" s="27"/>
    </row>
    <row r="53" ht="15.75" customHeight="1">
      <c r="A53" s="49" t="s">
        <v>261</v>
      </c>
      <c r="B53" s="50"/>
      <c r="C53" s="50"/>
      <c r="D53" s="50"/>
      <c r="E53" s="50"/>
      <c r="F53" s="50"/>
      <c r="G53" s="50"/>
      <c r="H53" s="51"/>
    </row>
    <row r="54" ht="15.75" customHeight="1">
      <c r="A54" s="63"/>
      <c r="H54" s="64"/>
    </row>
    <row r="55" ht="15.75" customHeight="1">
      <c r="A55" s="52"/>
      <c r="B55" s="53"/>
      <c r="C55" s="53"/>
      <c r="D55" s="53"/>
      <c r="E55" s="53"/>
      <c r="F55" s="53"/>
      <c r="G55" s="53"/>
      <c r="H55" s="54"/>
    </row>
    <row r="56" ht="15.75" customHeight="1"/>
    <row r="57" ht="15.75" customHeight="1">
      <c r="A57" s="32" t="s">
        <v>221</v>
      </c>
    </row>
    <row r="58" ht="15.75" customHeight="1">
      <c r="A58" s="36" t="s">
        <v>215</v>
      </c>
      <c r="B58" s="25"/>
      <c r="C58" s="26"/>
      <c r="D58" s="26"/>
      <c r="E58" s="26"/>
      <c r="F58" s="26"/>
      <c r="G58" s="26"/>
      <c r="H58" s="27"/>
    </row>
    <row r="59" ht="15.75" customHeight="1">
      <c r="A59" s="36" t="s">
        <v>216</v>
      </c>
      <c r="B59" s="25"/>
      <c r="C59" s="26"/>
      <c r="D59" s="26"/>
      <c r="E59" s="26"/>
      <c r="F59" s="26"/>
      <c r="G59" s="26"/>
      <c r="H59" s="27"/>
    </row>
    <row r="60" ht="15.75" customHeight="1">
      <c r="A60" s="36" t="s">
        <v>184</v>
      </c>
      <c r="B60" s="62"/>
      <c r="C60" s="26"/>
      <c r="D60" s="26"/>
      <c r="E60" s="26"/>
      <c r="F60" s="26"/>
      <c r="G60" s="26"/>
      <c r="H60" s="27"/>
    </row>
    <row r="61" ht="15.75" customHeight="1">
      <c r="A61" s="36" t="s">
        <v>144</v>
      </c>
      <c r="B61" s="62"/>
      <c r="C61" s="26"/>
      <c r="D61" s="26"/>
      <c r="E61" s="26"/>
      <c r="F61" s="26"/>
      <c r="G61" s="26"/>
      <c r="H61" s="27"/>
    </row>
    <row r="62" ht="15.75" customHeight="1">
      <c r="A62" s="65" t="s">
        <v>222</v>
      </c>
      <c r="B62" s="5"/>
      <c r="C62" s="5"/>
      <c r="D62" s="5"/>
      <c r="E62" s="5"/>
      <c r="F62" s="5"/>
      <c r="G62" s="5"/>
      <c r="H62" s="5"/>
    </row>
    <row r="63" ht="15.75" customHeight="1">
      <c r="A63" s="48" t="s">
        <v>219</v>
      </c>
      <c r="B63" s="26"/>
      <c r="C63" s="26"/>
      <c r="D63" s="26"/>
      <c r="E63" s="26"/>
      <c r="F63" s="26"/>
      <c r="G63" s="26"/>
      <c r="H63" s="27"/>
    </row>
    <row r="64" ht="15.75" customHeight="1">
      <c r="A64" s="66"/>
      <c r="B64" s="50"/>
      <c r="C64" s="50"/>
      <c r="D64" s="50"/>
      <c r="E64" s="50"/>
      <c r="F64" s="50"/>
      <c r="G64" s="50"/>
      <c r="H64" s="51"/>
    </row>
    <row r="65" ht="15.75" customHeight="1">
      <c r="A65" s="63"/>
      <c r="H65" s="64"/>
    </row>
    <row r="66" ht="15.75" customHeight="1">
      <c r="A66" s="52"/>
      <c r="B66" s="53"/>
      <c r="C66" s="53"/>
      <c r="D66" s="53"/>
      <c r="E66" s="53"/>
      <c r="F66" s="53"/>
      <c r="G66" s="53"/>
      <c r="H66" s="54"/>
    </row>
    <row r="67" ht="15.75" customHeight="1"/>
    <row r="68" ht="15.75" customHeight="1">
      <c r="A68" s="46" t="s">
        <v>223</v>
      </c>
      <c r="G68" s="40" t="s">
        <v>144</v>
      </c>
      <c r="H68" s="47">
        <v>20.0</v>
      </c>
    </row>
    <row r="69" ht="15.75" customHeight="1">
      <c r="G69" s="32" t="s">
        <v>224</v>
      </c>
    </row>
    <row r="70" ht="15.75" customHeight="1">
      <c r="A70" s="36" t="s">
        <v>144</v>
      </c>
      <c r="B70" s="62"/>
      <c r="C70" s="26"/>
      <c r="D70" s="26"/>
      <c r="E70" s="26"/>
      <c r="F70" s="26"/>
      <c r="G70" s="26"/>
      <c r="H70" s="27"/>
    </row>
    <row r="71" ht="15.75" customHeight="1">
      <c r="A71" s="61" t="s">
        <v>225</v>
      </c>
      <c r="B71" s="26"/>
      <c r="C71" s="26"/>
      <c r="D71" s="26"/>
      <c r="E71" s="26"/>
      <c r="F71" s="26"/>
      <c r="G71" s="26"/>
      <c r="H71" s="27"/>
    </row>
    <row r="72" ht="15.75" customHeight="1">
      <c r="A72" s="49" t="s">
        <v>258</v>
      </c>
      <c r="B72" s="50"/>
      <c r="C72" s="50"/>
      <c r="D72" s="50"/>
      <c r="E72" s="50"/>
      <c r="F72" s="50"/>
      <c r="G72" s="50"/>
      <c r="H72" s="51"/>
    </row>
    <row r="73" ht="15.75" customHeight="1">
      <c r="A73" s="52"/>
      <c r="B73" s="53"/>
      <c r="C73" s="53"/>
      <c r="D73" s="53"/>
      <c r="E73" s="53"/>
      <c r="F73" s="53"/>
      <c r="G73" s="53"/>
      <c r="H73" s="54"/>
    </row>
    <row r="74" ht="15.75" customHeight="1">
      <c r="A74" s="32"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10.0</v>
      </c>
      <c r="D5" s="26"/>
      <c r="E5" s="26"/>
      <c r="F5" s="26"/>
      <c r="G5" s="27"/>
    </row>
    <row r="6" ht="15.75" customHeight="1">
      <c r="B6" s="45" t="s">
        <v>142</v>
      </c>
      <c r="C6" s="25">
        <f>H10+H21+H44+H68</f>
        <v>110</v>
      </c>
      <c r="D6" s="26"/>
      <c r="E6" s="26"/>
      <c r="F6" s="26"/>
      <c r="G6" s="27"/>
      <c r="I6" s="5"/>
    </row>
    <row r="7" ht="15.75" customHeight="1">
      <c r="B7" s="45" t="s">
        <v>184</v>
      </c>
      <c r="C7" s="25">
        <f>B49+B60</f>
        <v>0</v>
      </c>
      <c r="D7" s="26"/>
      <c r="E7" s="26"/>
      <c r="F7" s="26"/>
      <c r="G7" s="27"/>
    </row>
    <row r="8" ht="15.75" customHeight="1">
      <c r="B8" s="45" t="s">
        <v>185</v>
      </c>
      <c r="C8" s="25"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6"/>
      <c r="E8" s="26"/>
      <c r="F8" s="26"/>
      <c r="G8" s="27"/>
      <c r="I8" s="5"/>
      <c r="J8" s="5"/>
      <c r="K8" s="5"/>
    </row>
    <row r="9" ht="15.75" customHeight="1"/>
    <row r="10" ht="15.75" customHeight="1">
      <c r="A10" s="46" t="s">
        <v>186</v>
      </c>
      <c r="G10" s="40" t="s">
        <v>144</v>
      </c>
      <c r="H10" s="47">
        <v>10.0</v>
      </c>
    </row>
    <row r="11" ht="15.75" customHeight="1">
      <c r="G11" s="32" t="s">
        <v>187</v>
      </c>
    </row>
    <row r="12" ht="15.75" customHeight="1">
      <c r="A12" s="36" t="s">
        <v>188</v>
      </c>
      <c r="B12" s="37" t="s">
        <v>228</v>
      </c>
      <c r="C12" s="26"/>
      <c r="D12" s="26"/>
      <c r="E12" s="26"/>
      <c r="F12" s="26"/>
      <c r="G12" s="26"/>
      <c r="H12" s="27"/>
    </row>
    <row r="13" ht="15.75" customHeight="1">
      <c r="A13" s="38" t="s">
        <v>144</v>
      </c>
      <c r="B13" s="25"/>
      <c r="C13" s="26"/>
      <c r="D13" s="26"/>
      <c r="E13" s="26"/>
      <c r="F13" s="26"/>
      <c r="G13" s="26"/>
      <c r="H13" s="27"/>
    </row>
    <row r="14" ht="15.75" customHeight="1">
      <c r="A14" s="48" t="s">
        <v>190</v>
      </c>
      <c r="B14" s="26"/>
      <c r="C14" s="26"/>
      <c r="D14" s="26"/>
      <c r="E14" s="26"/>
      <c r="F14" s="26"/>
      <c r="G14" s="26"/>
      <c r="H14" s="27"/>
    </row>
    <row r="15" ht="15.75" customHeight="1">
      <c r="A15" s="49" t="s">
        <v>259</v>
      </c>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49" t="s">
        <v>260</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47">
        <v>60.0</v>
      </c>
      <c r="I21" s="5"/>
    </row>
    <row r="22" ht="15.75" customHeight="1">
      <c r="G22" s="32" t="s">
        <v>195</v>
      </c>
    </row>
    <row r="23" ht="15.75" customHeight="1">
      <c r="A23" s="36" t="s">
        <v>196</v>
      </c>
      <c r="B23" s="25"/>
      <c r="C23" s="26"/>
      <c r="D23" s="26"/>
      <c r="E23" s="26"/>
      <c r="F23" s="26"/>
      <c r="G23" s="26"/>
      <c r="H23" s="27"/>
    </row>
    <row r="24" ht="15.75" customHeight="1">
      <c r="A24" s="36" t="s">
        <v>196</v>
      </c>
      <c r="B24" s="25"/>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6 Automatización de procesos empresariales.")</f>
        <v>Unidad 6 Automatización de procesos empresariales.</v>
      </c>
      <c r="C28" s="27"/>
      <c r="D28" s="25" t="str">
        <f>IFERROR(__xludf.DUMMYFUNCTION("FILTER('Diseño'!E:E,'Diseño'!H:H=$C$5)"),"RPA e introducción al marketing digital")</f>
        <v>RPA e introducción al marketing digital</v>
      </c>
      <c r="E28" s="27"/>
      <c r="F28" s="25" t="str">
        <f>IFERROR(__xludf.DUMMYFUNCTION("FILTER('Diseño'!F:F,'Diseño'!H:H=$C$5)"),"Herramientas tecnológicas RPA")</f>
        <v>Herramientas tecnológicas RPA</v>
      </c>
      <c r="G28" s="26"/>
      <c r="H28" s="27"/>
    </row>
    <row r="29" ht="15.75" customHeight="1">
      <c r="A29" s="28">
        <v>2.0</v>
      </c>
      <c r="B29" s="25" t="str">
        <f>IFERROR(__xludf.DUMMYFUNCTION("""COMPUTED_VALUE"""),"Unidad 6 Automatización de procesos empresariales.")</f>
        <v>Unidad 6 Automatización de procesos empresariales.</v>
      </c>
      <c r="C29" s="27"/>
      <c r="D29" s="25" t="str">
        <f>IFERROR(__xludf.DUMMYFUNCTION("""COMPUTED_VALUE"""),"RPA e introducción al marketing digital")</f>
        <v>RPA e introducción al marketing digital</v>
      </c>
      <c r="E29" s="27"/>
      <c r="F29" s="25" t="str">
        <f>IFERROR(__xludf.DUMMYFUNCTION("""COMPUTED_VALUE"""),"Tipos y caracteristicas de las herramientas a estudiar.")</f>
        <v>Tipos y caracteristicas de las herramientas a estudiar.</v>
      </c>
      <c r="G29" s="26"/>
      <c r="H29" s="27"/>
    </row>
    <row r="30" ht="15.75" customHeight="1">
      <c r="A30" s="28">
        <v>3.0</v>
      </c>
      <c r="B30" s="25" t="str">
        <f>IFERROR(__xludf.DUMMYFUNCTION("""COMPUTED_VALUE"""),"Unidad 6 Automatización de procesos empresariales.")</f>
        <v>Unidad 6 Automatización de procesos empresariales.</v>
      </c>
      <c r="C30" s="27"/>
      <c r="D30" s="25" t="str">
        <f>IFERROR(__xludf.DUMMYFUNCTION("""COMPUTED_VALUE"""),"RPA e introducción al marketing digital")</f>
        <v>RPA e introducción al marketing digital</v>
      </c>
      <c r="E30" s="27"/>
      <c r="F30" s="25" t="str">
        <f>IFERROR(__xludf.DUMMYFUNCTION("""COMPUTED_VALUE"""),"Conceptos de ética y seguridad en proyectos RPA.")</f>
        <v>Conceptos de ética y seguridad en proyectos RPA.</v>
      </c>
      <c r="G30" s="26"/>
      <c r="H30" s="27"/>
    </row>
    <row r="31" ht="15.75" customHeight="1">
      <c r="A31" s="28">
        <v>4.0</v>
      </c>
      <c r="B31" s="25" t="str">
        <f>IFERROR(__xludf.DUMMYFUNCTION("""COMPUTED_VALUE"""),"Unidad 6 Automatización de procesos empresariales.")</f>
        <v>Unidad 6 Automatización de procesos empresariales.</v>
      </c>
      <c r="C31" s="27"/>
      <c r="D31" s="25" t="str">
        <f>IFERROR(__xludf.DUMMYFUNCTION("""COMPUTED_VALUE"""),"RPA e introducción al marketing digital")</f>
        <v>RPA e introducción al marketing digital</v>
      </c>
      <c r="E31" s="27"/>
      <c r="F31" s="25" t="str">
        <f>IFERROR(__xludf.DUMMYFUNCTION("""COMPUTED_VALUE"""),"Ejemplos de RPA")</f>
        <v>Ejemplos de RPA</v>
      </c>
      <c r="G31" s="26"/>
      <c r="H31" s="27"/>
    </row>
    <row r="32" ht="15.75" customHeight="1">
      <c r="A32" s="28">
        <v>5.0</v>
      </c>
      <c r="B32" s="25" t="str">
        <f>IFERROR(__xludf.DUMMYFUNCTION("""COMPUTED_VALUE"""),"Unidad 6 Automatización de procesos empresariales.")</f>
        <v>Unidad 6 Automatización de procesos empresariales.</v>
      </c>
      <c r="C32" s="27"/>
      <c r="D32" s="25" t="str">
        <f>IFERROR(__xludf.DUMMYFUNCTION("""COMPUTED_VALUE"""),"RPA e introducción al marketing digital")</f>
        <v>RPA e introducción al marketing digital</v>
      </c>
      <c r="E32" s="27"/>
      <c r="F32" s="25" t="str">
        <f>IFERROR(__xludf.DUMMYFUNCTION("""COMPUTED_VALUE"""),"Introducción a marketing digital.")</f>
        <v>Introducción a marketing digital.</v>
      </c>
      <c r="G32" s="26"/>
      <c r="H32" s="27"/>
    </row>
    <row r="33" ht="15.75" customHeight="1">
      <c r="A33" s="28">
        <v>6.0</v>
      </c>
      <c r="B33" s="25" t="str">
        <f>IFERROR(__xludf.DUMMYFUNCTION("""COMPUTED_VALUE"""),"Unidad 6 Automatización de procesos empresariales.")</f>
        <v>Unidad 6 Automatización de procesos empresariales.</v>
      </c>
      <c r="C33" s="27"/>
      <c r="D33" s="25" t="str">
        <f>IFERROR(__xludf.DUMMYFUNCTION("""COMPUTED_VALUE"""),"RPA e introducción al marketing digital")</f>
        <v>RPA e introducción al marketing digital</v>
      </c>
      <c r="E33" s="27"/>
      <c r="F33" s="25" t="str">
        <f>IFERROR(__xludf.DUMMYFUNCTION("""COMPUTED_VALUE"""),"Herramientas de análisis y medición.")</f>
        <v>Herramientas de análisis y medición.</v>
      </c>
      <c r="G33" s="26"/>
      <c r="H33" s="27"/>
    </row>
    <row r="34" ht="15.75" customHeight="1">
      <c r="A34" s="28">
        <v>7.0</v>
      </c>
      <c r="B34" s="25" t="str">
        <f>IFERROR(__xludf.DUMMYFUNCTION("""COMPUTED_VALUE"""),"Unidad 6 Automatización de procesos empresariales.")</f>
        <v>Unidad 6 Automatización de procesos empresariales.</v>
      </c>
      <c r="C34" s="27"/>
      <c r="D34" s="25" t="str">
        <f>IFERROR(__xludf.DUMMYFUNCTION("""COMPUTED_VALUE"""),"RPA e introducción al marketing digital")</f>
        <v>RPA e introducción al marketing digital</v>
      </c>
      <c r="E34" s="27"/>
      <c r="F34" s="25" t="str">
        <f>IFERROR(__xludf.DUMMYFUNCTION("""COMPUTED_VALUE"""),"Estratégias de marketing.")</f>
        <v>Estratégias de marketing.</v>
      </c>
      <c r="G34" s="26"/>
      <c r="H34" s="27"/>
    </row>
    <row r="35" ht="15.75" customHeight="1">
      <c r="B35" s="59" t="str">
        <f>IFERROR(__xludf.DUMMYFUNCTION("""COMPUTED_VALUE"""),"Unidad 7 Marketing")</f>
        <v>Unidad 7 Marketing</v>
      </c>
      <c r="D35" s="59" t="str">
        <f>IFERROR(__xludf.DUMMYFUNCTION("""COMPUTED_VALUE"""),"Técnicas y herramientas de segmentación de mercado, tipos de analisis de datos.")</f>
        <v>Técnicas y herramientas de segmentación de mercado, tipos de analisis de datos.</v>
      </c>
      <c r="F35" s="59" t="str">
        <f>IFERROR(__xludf.DUMMYFUNCTION("""COMPUTED_VALUE"""),"Tipos de analisis de datos y métricas.")</f>
        <v>Tipos de analisis de datos y métricas.</v>
      </c>
    </row>
    <row r="36" ht="15.75" customHeight="1">
      <c r="A36" s="56" t="s">
        <v>201</v>
      </c>
    </row>
    <row r="37" ht="15.75" customHeight="1">
      <c r="A37" s="5"/>
      <c r="B37" s="5"/>
      <c r="C37" s="5"/>
      <c r="D37" s="5"/>
      <c r="E37" s="5"/>
      <c r="F37" s="5"/>
      <c r="G37" s="5"/>
      <c r="H37" s="5"/>
    </row>
    <row r="38" ht="15.75" customHeight="1">
      <c r="A38" s="57" t="s">
        <v>202</v>
      </c>
      <c r="B38" s="57" t="s">
        <v>203</v>
      </c>
      <c r="C38" s="60" t="s">
        <v>204</v>
      </c>
      <c r="D38" s="61" t="s">
        <v>144</v>
      </c>
      <c r="E38" s="26"/>
      <c r="F38" s="26"/>
      <c r="G38" s="26"/>
      <c r="H38" s="27"/>
    </row>
    <row r="39" ht="15.75" customHeight="1">
      <c r="A39" s="28" t="s">
        <v>205</v>
      </c>
      <c r="B39" s="28" t="s">
        <v>206</v>
      </c>
      <c r="C39" s="28"/>
      <c r="D39" s="25"/>
      <c r="E39" s="26"/>
      <c r="F39" s="26"/>
      <c r="G39" s="26"/>
      <c r="H39" s="27"/>
    </row>
    <row r="40" ht="15.75" customHeight="1">
      <c r="A40" s="28" t="s">
        <v>207</v>
      </c>
      <c r="B40" s="28" t="s">
        <v>206</v>
      </c>
      <c r="C40" s="28" t="s">
        <v>208</v>
      </c>
      <c r="D40" s="25"/>
      <c r="E40" s="26"/>
      <c r="F40" s="26"/>
      <c r="G40" s="26"/>
      <c r="H40" s="27"/>
    </row>
    <row r="41" ht="15.75" customHeight="1">
      <c r="A41" s="28" t="s">
        <v>209</v>
      </c>
      <c r="B41" s="28" t="s">
        <v>210</v>
      </c>
      <c r="C41" s="28"/>
      <c r="D41" s="25"/>
      <c r="E41" s="26"/>
      <c r="F41" s="26"/>
      <c r="G41" s="26"/>
      <c r="H41" s="27"/>
    </row>
    <row r="42" ht="15.75" customHeight="1">
      <c r="A42" s="28" t="s">
        <v>211</v>
      </c>
      <c r="B42" s="28" t="s">
        <v>206</v>
      </c>
      <c r="C42" s="28"/>
      <c r="D42" s="25"/>
      <c r="E42" s="26"/>
      <c r="F42" s="26"/>
      <c r="G42" s="26"/>
      <c r="H42" s="27"/>
    </row>
    <row r="43" ht="15.75" customHeight="1"/>
    <row r="44" ht="15.75" customHeight="1">
      <c r="A44" s="46" t="s">
        <v>212</v>
      </c>
      <c r="G44" s="40" t="s">
        <v>144</v>
      </c>
      <c r="H44" s="47">
        <v>20.0</v>
      </c>
    </row>
    <row r="45" ht="15.75" customHeight="1">
      <c r="G45" s="32" t="s">
        <v>213</v>
      </c>
    </row>
    <row r="46" ht="15.75" customHeight="1">
      <c r="A46" s="32" t="s">
        <v>214</v>
      </c>
    </row>
    <row r="47" ht="15.75" customHeight="1">
      <c r="A47" s="36" t="s">
        <v>215</v>
      </c>
      <c r="B47" s="25" t="s">
        <v>242</v>
      </c>
      <c r="C47" s="26"/>
      <c r="D47" s="26"/>
      <c r="E47" s="26"/>
      <c r="F47" s="26"/>
      <c r="G47" s="26"/>
      <c r="H47" s="27"/>
    </row>
    <row r="48" ht="15.75" customHeight="1">
      <c r="A48" s="36" t="s">
        <v>216</v>
      </c>
      <c r="B48" s="25" t="s">
        <v>235</v>
      </c>
      <c r="C48" s="26"/>
      <c r="D48" s="26"/>
      <c r="E48" s="26"/>
      <c r="F48" s="26"/>
      <c r="G48" s="26"/>
      <c r="H48" s="27"/>
    </row>
    <row r="49" ht="15.75" customHeight="1">
      <c r="A49" s="36" t="s">
        <v>184</v>
      </c>
      <c r="B49" s="62">
        <v>0.0</v>
      </c>
      <c r="C49" s="26"/>
      <c r="D49" s="26"/>
      <c r="E49" s="26"/>
      <c r="F49" s="26"/>
      <c r="G49" s="26"/>
      <c r="H49" s="27"/>
    </row>
    <row r="50" ht="15.75" customHeight="1">
      <c r="A50" s="36" t="s">
        <v>144</v>
      </c>
      <c r="B50" s="25">
        <v>0.0</v>
      </c>
      <c r="C50" s="26"/>
      <c r="D50" s="26"/>
      <c r="E50" s="26"/>
      <c r="F50" s="26"/>
      <c r="G50" s="26"/>
      <c r="H50" s="27"/>
    </row>
    <row r="51" ht="15.75" customHeight="1">
      <c r="A51" s="42" t="s">
        <v>218</v>
      </c>
      <c r="B51" s="5"/>
      <c r="C51" s="5"/>
      <c r="D51" s="5"/>
      <c r="E51" s="5"/>
      <c r="F51" s="5"/>
      <c r="G51" s="5"/>
      <c r="H51" s="5"/>
    </row>
    <row r="52" ht="15.75" customHeight="1">
      <c r="A52" s="48" t="s">
        <v>219</v>
      </c>
      <c r="B52" s="26"/>
      <c r="C52" s="26"/>
      <c r="D52" s="26"/>
      <c r="E52" s="26"/>
      <c r="F52" s="26"/>
      <c r="G52" s="26"/>
      <c r="H52" s="27"/>
    </row>
    <row r="53" ht="15.75" customHeight="1">
      <c r="A53" s="49" t="s">
        <v>261</v>
      </c>
      <c r="B53" s="50"/>
      <c r="C53" s="50"/>
      <c r="D53" s="50"/>
      <c r="E53" s="50"/>
      <c r="F53" s="50"/>
      <c r="G53" s="50"/>
      <c r="H53" s="51"/>
    </row>
    <row r="54" ht="15.75" customHeight="1">
      <c r="A54" s="63"/>
      <c r="H54" s="64"/>
    </row>
    <row r="55" ht="15.75" customHeight="1">
      <c r="A55" s="52"/>
      <c r="B55" s="53"/>
      <c r="C55" s="53"/>
      <c r="D55" s="53"/>
      <c r="E55" s="53"/>
      <c r="F55" s="53"/>
      <c r="G55" s="53"/>
      <c r="H55" s="54"/>
    </row>
    <row r="56" ht="15.75" customHeight="1"/>
    <row r="57" ht="15.75" customHeight="1">
      <c r="A57" s="32" t="s">
        <v>221</v>
      </c>
    </row>
    <row r="58" ht="15.75" customHeight="1">
      <c r="A58" s="36" t="s">
        <v>215</v>
      </c>
      <c r="B58" s="25"/>
      <c r="C58" s="26"/>
      <c r="D58" s="26"/>
      <c r="E58" s="26"/>
      <c r="F58" s="26"/>
      <c r="G58" s="26"/>
      <c r="H58" s="27"/>
    </row>
    <row r="59" ht="15.75" customHeight="1">
      <c r="A59" s="36" t="s">
        <v>216</v>
      </c>
      <c r="B59" s="25"/>
      <c r="C59" s="26"/>
      <c r="D59" s="26"/>
      <c r="E59" s="26"/>
      <c r="F59" s="26"/>
      <c r="G59" s="26"/>
      <c r="H59" s="27"/>
    </row>
    <row r="60" ht="15.75" customHeight="1">
      <c r="A60" s="36" t="s">
        <v>184</v>
      </c>
      <c r="B60" s="62"/>
      <c r="C60" s="26"/>
      <c r="D60" s="26"/>
      <c r="E60" s="26"/>
      <c r="F60" s="26"/>
      <c r="G60" s="26"/>
      <c r="H60" s="27"/>
    </row>
    <row r="61" ht="15.75" customHeight="1">
      <c r="A61" s="36" t="s">
        <v>144</v>
      </c>
      <c r="B61" s="62"/>
      <c r="C61" s="26"/>
      <c r="D61" s="26"/>
      <c r="E61" s="26"/>
      <c r="F61" s="26"/>
      <c r="G61" s="26"/>
      <c r="H61" s="27"/>
    </row>
    <row r="62" ht="15.75" customHeight="1">
      <c r="A62" s="65" t="s">
        <v>222</v>
      </c>
      <c r="B62" s="5"/>
      <c r="C62" s="5"/>
      <c r="D62" s="5"/>
      <c r="E62" s="5"/>
      <c r="F62" s="5"/>
      <c r="G62" s="5"/>
      <c r="H62" s="5"/>
    </row>
    <row r="63" ht="15.75" customHeight="1">
      <c r="A63" s="48" t="s">
        <v>219</v>
      </c>
      <c r="B63" s="26"/>
      <c r="C63" s="26"/>
      <c r="D63" s="26"/>
      <c r="E63" s="26"/>
      <c r="F63" s="26"/>
      <c r="G63" s="26"/>
      <c r="H63" s="27"/>
    </row>
    <row r="64" ht="15.75" customHeight="1">
      <c r="A64" s="66"/>
      <c r="B64" s="50"/>
      <c r="C64" s="50"/>
      <c r="D64" s="50"/>
      <c r="E64" s="50"/>
      <c r="F64" s="50"/>
      <c r="G64" s="50"/>
      <c r="H64" s="51"/>
    </row>
    <row r="65" ht="15.75" customHeight="1">
      <c r="A65" s="63"/>
      <c r="H65" s="64"/>
    </row>
    <row r="66" ht="15.75" customHeight="1">
      <c r="A66" s="52"/>
      <c r="B66" s="53"/>
      <c r="C66" s="53"/>
      <c r="D66" s="53"/>
      <c r="E66" s="53"/>
      <c r="F66" s="53"/>
      <c r="G66" s="53"/>
      <c r="H66" s="54"/>
    </row>
    <row r="67" ht="15.75" customHeight="1"/>
    <row r="68" ht="15.75" customHeight="1">
      <c r="A68" s="46" t="s">
        <v>223</v>
      </c>
      <c r="G68" s="40" t="s">
        <v>144</v>
      </c>
      <c r="H68" s="47">
        <v>20.0</v>
      </c>
    </row>
    <row r="69" ht="15.75" customHeight="1">
      <c r="G69" s="32" t="s">
        <v>224</v>
      </c>
    </row>
    <row r="70" ht="15.75" customHeight="1">
      <c r="A70" s="36" t="s">
        <v>144</v>
      </c>
      <c r="B70" s="62"/>
      <c r="C70" s="26"/>
      <c r="D70" s="26"/>
      <c r="E70" s="26"/>
      <c r="F70" s="26"/>
      <c r="G70" s="26"/>
      <c r="H70" s="27"/>
    </row>
    <row r="71" ht="15.75" customHeight="1">
      <c r="A71" s="61" t="s">
        <v>225</v>
      </c>
      <c r="B71" s="26"/>
      <c r="C71" s="26"/>
      <c r="D71" s="26"/>
      <c r="E71" s="26"/>
      <c r="F71" s="26"/>
      <c r="G71" s="26"/>
      <c r="H71" s="27"/>
    </row>
    <row r="72" ht="15.75" customHeight="1">
      <c r="A72" s="49" t="s">
        <v>258</v>
      </c>
      <c r="B72" s="50"/>
      <c r="C72" s="50"/>
      <c r="D72" s="50"/>
      <c r="E72" s="50"/>
      <c r="F72" s="50"/>
      <c r="G72" s="50"/>
      <c r="H72" s="51"/>
    </row>
    <row r="73" ht="15.75" customHeight="1">
      <c r="A73" s="52"/>
      <c r="B73" s="53"/>
      <c r="C73" s="53"/>
      <c r="D73" s="53"/>
      <c r="E73" s="53"/>
      <c r="F73" s="53"/>
      <c r="G73" s="53"/>
      <c r="H73" s="54"/>
    </row>
    <row r="74" ht="15.75" customHeight="1">
      <c r="A74" s="32"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183</v>
      </c>
    </row>
    <row r="3" ht="15.75" customHeight="1"/>
    <row r="4" ht="15.75" customHeight="1">
      <c r="B4" s="24" t="s">
        <v>1</v>
      </c>
      <c r="C4" s="25" t="str">
        <f>'Diseño'!C4</f>
        <v>787 - Sistemas Organizacionales y Gerenciales 2</v>
      </c>
      <c r="D4" s="26"/>
      <c r="E4" s="26"/>
      <c r="F4" s="26"/>
      <c r="G4" s="27"/>
    </row>
    <row r="5" ht="15.75" customHeight="1">
      <c r="B5" s="28" t="s">
        <v>11</v>
      </c>
      <c r="C5" s="25">
        <v>11.0</v>
      </c>
      <c r="D5" s="26"/>
      <c r="E5" s="26"/>
      <c r="F5" s="26"/>
      <c r="G5" s="27"/>
    </row>
    <row r="6" ht="15.75" customHeight="1">
      <c r="B6" s="45" t="s">
        <v>142</v>
      </c>
      <c r="C6" s="25">
        <f>H10+H21+H44+H68</f>
        <v>110</v>
      </c>
      <c r="D6" s="26"/>
      <c r="E6" s="26"/>
      <c r="F6" s="26"/>
      <c r="G6" s="27"/>
      <c r="I6" s="5"/>
    </row>
    <row r="7" ht="15.75" customHeight="1">
      <c r="B7" s="45" t="s">
        <v>184</v>
      </c>
      <c r="C7" s="25">
        <f>B49+B60</f>
        <v>0</v>
      </c>
      <c r="D7" s="26"/>
      <c r="E7" s="26"/>
      <c r="F7" s="26"/>
      <c r="G7" s="27"/>
    </row>
    <row r="8" ht="15.75" customHeight="1">
      <c r="B8" s="45" t="s">
        <v>185</v>
      </c>
      <c r="C8" s="25" t="str">
        <f>IF(H44&lt;=0, "❌ ERROR: La Actividad 1 debe tener un tiempo mayor a 0.", IF(H21&gt;60, "❌ ERROR: El 'Área de Conocimiento' no puede exceder los 60 min.", IF((H10+H21+H44)&lt;100, "❌ ERROR: El tiempo total debe ser de al menos 100 min.", "✅ VALIDACIÓN CORRECTA")))</f>
        <v>❌ ERROR: El tiempo total debe ser de al menos 100 min.</v>
      </c>
      <c r="D8" s="26"/>
      <c r="E8" s="26"/>
      <c r="F8" s="26"/>
      <c r="G8" s="27"/>
      <c r="I8" s="5"/>
      <c r="J8" s="5"/>
      <c r="K8" s="5"/>
    </row>
    <row r="9" ht="15.75" customHeight="1"/>
    <row r="10" ht="15.75" customHeight="1">
      <c r="A10" s="46" t="s">
        <v>186</v>
      </c>
      <c r="G10" s="40" t="s">
        <v>144</v>
      </c>
      <c r="H10" s="47">
        <v>10.0</v>
      </c>
    </row>
    <row r="11" ht="15.75" customHeight="1">
      <c r="G11" s="32" t="s">
        <v>187</v>
      </c>
    </row>
    <row r="12" ht="15.75" customHeight="1">
      <c r="A12" s="36" t="s">
        <v>188</v>
      </c>
      <c r="B12" s="37" t="s">
        <v>262</v>
      </c>
      <c r="C12" s="26"/>
      <c r="D12" s="26"/>
      <c r="E12" s="26"/>
      <c r="F12" s="26"/>
      <c r="G12" s="26"/>
      <c r="H12" s="27"/>
    </row>
    <row r="13" ht="15.75" customHeight="1">
      <c r="A13" s="38" t="s">
        <v>144</v>
      </c>
      <c r="B13" s="25"/>
      <c r="C13" s="26"/>
      <c r="D13" s="26"/>
      <c r="E13" s="26"/>
      <c r="F13" s="26"/>
      <c r="G13" s="26"/>
      <c r="H13" s="27"/>
    </row>
    <row r="14" ht="15.75" customHeight="1">
      <c r="A14" s="48" t="s">
        <v>190</v>
      </c>
      <c r="B14" s="26"/>
      <c r="C14" s="26"/>
      <c r="D14" s="26"/>
      <c r="E14" s="26"/>
      <c r="F14" s="26"/>
      <c r="G14" s="26"/>
      <c r="H14" s="27"/>
    </row>
    <row r="15" ht="15.75" customHeight="1">
      <c r="A15" s="49" t="s">
        <v>263</v>
      </c>
      <c r="B15" s="50"/>
      <c r="C15" s="50"/>
      <c r="D15" s="50"/>
      <c r="E15" s="50"/>
      <c r="F15" s="50"/>
      <c r="G15" s="50"/>
      <c r="H15" s="51"/>
    </row>
    <row r="16" ht="15.75" customHeight="1">
      <c r="A16" s="52"/>
      <c r="B16" s="53"/>
      <c r="C16" s="53"/>
      <c r="D16" s="53"/>
      <c r="E16" s="53"/>
      <c r="F16" s="53"/>
      <c r="G16" s="53"/>
      <c r="H16" s="54"/>
    </row>
    <row r="17" ht="15.75" customHeight="1">
      <c r="A17" s="48" t="s">
        <v>192</v>
      </c>
      <c r="B17" s="26"/>
      <c r="C17" s="26"/>
      <c r="D17" s="26"/>
      <c r="E17" s="26"/>
      <c r="F17" s="26"/>
      <c r="G17" s="26"/>
      <c r="H17" s="27"/>
    </row>
    <row r="18" ht="15.75" customHeight="1">
      <c r="A18" s="49" t="s">
        <v>264</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194</v>
      </c>
      <c r="G21" s="40" t="s">
        <v>144</v>
      </c>
      <c r="H21" s="47">
        <v>60.0</v>
      </c>
      <c r="I21" s="5"/>
    </row>
    <row r="22" ht="15.75" customHeight="1">
      <c r="G22" s="32" t="s">
        <v>195</v>
      </c>
    </row>
    <row r="23" ht="15.75" customHeight="1">
      <c r="A23" s="36" t="s">
        <v>196</v>
      </c>
      <c r="B23" s="25"/>
      <c r="C23" s="26"/>
      <c r="D23" s="26"/>
      <c r="E23" s="26"/>
      <c r="F23" s="26"/>
      <c r="G23" s="26"/>
      <c r="H23" s="27"/>
    </row>
    <row r="24" ht="15.75" customHeight="1">
      <c r="A24" s="36" t="s">
        <v>196</v>
      </c>
      <c r="B24" s="25"/>
      <c r="C24" s="26"/>
      <c r="D24" s="26"/>
      <c r="E24" s="26"/>
      <c r="F24" s="26"/>
      <c r="G24" s="26"/>
      <c r="H24" s="27"/>
    </row>
    <row r="25" ht="15.75" customHeight="1"/>
    <row r="26" ht="15.75" customHeight="1">
      <c r="A26" s="56" t="s">
        <v>197</v>
      </c>
      <c r="B26" s="5"/>
      <c r="C26" s="5"/>
      <c r="D26" s="5"/>
    </row>
    <row r="27" ht="15.75" customHeight="1">
      <c r="A27" s="57" t="s">
        <v>5</v>
      </c>
      <c r="B27" s="58" t="s">
        <v>198</v>
      </c>
      <c r="C27" s="27"/>
      <c r="D27" s="58" t="s">
        <v>199</v>
      </c>
      <c r="E27" s="27"/>
      <c r="F27" s="58" t="s">
        <v>200</v>
      </c>
      <c r="G27" s="26"/>
      <c r="H27" s="27"/>
    </row>
    <row r="28" ht="15.75" customHeight="1">
      <c r="A28" s="28">
        <v>1.0</v>
      </c>
      <c r="B28" s="25" t="str">
        <f>IFERROR(__xludf.DUMMYFUNCTION("FILTER('Diseño'!D:D,'Diseño'!H:H=$C$5)"),"Unidad 7 Marketing")</f>
        <v>Unidad 7 Marketing</v>
      </c>
      <c r="C28" s="27"/>
      <c r="D28" s="25" t="str">
        <f>IFERROR(__xludf.DUMMYFUNCTION("FILTER('Diseño'!E:E,'Diseño'!H:H=$C$5)"),"Técnicas y herramientas de segmentación de mercado, tipos de analisis de datos.")</f>
        <v>Técnicas y herramientas de segmentación de mercado, tipos de analisis de datos.</v>
      </c>
      <c r="E28" s="27"/>
      <c r="F28" s="25" t="str">
        <f>IFERROR(__xludf.DUMMYFUNCTION("FILTER('Diseño'!F:F,'Diseño'!H:H=$C$5)"),"Herramientas de gestión y automatización")</f>
        <v>Herramientas de gestión y automatización</v>
      </c>
      <c r="G28" s="26"/>
      <c r="H28" s="27"/>
    </row>
    <row r="29" ht="15.75" customHeight="1">
      <c r="A29" s="28">
        <v>2.0</v>
      </c>
      <c r="B29" s="25" t="str">
        <f>IFERROR(__xludf.DUMMYFUNCTION("""COMPUTED_VALUE"""),"Unidad 7 Marketing")</f>
        <v>Unidad 7 Marketing</v>
      </c>
      <c r="C29" s="27"/>
      <c r="D29" s="25" t="str">
        <f>IFERROR(__xludf.DUMMYFUNCTION("""COMPUTED_VALUE"""),"Técnicas y herramientas de segmentación de mercado, tipos de analisis de datos.")</f>
        <v>Técnicas y herramientas de segmentación de mercado, tipos de analisis de datos.</v>
      </c>
      <c r="E29" s="27"/>
      <c r="F29" s="25" t="str">
        <f>IFERROR(__xludf.DUMMYFUNCTION("""COMPUTED_VALUE"""),"Segmentación del mercado")</f>
        <v>Segmentación del mercado</v>
      </c>
      <c r="G29" s="26"/>
      <c r="H29" s="27"/>
    </row>
    <row r="30" ht="15.75" customHeight="1">
      <c r="A30" s="28">
        <v>3.0</v>
      </c>
      <c r="B30" s="25" t="str">
        <f>IFERROR(__xludf.DUMMYFUNCTION("""COMPUTED_VALUE"""),"Unidad 7 Marketing")</f>
        <v>Unidad 7 Marketing</v>
      </c>
      <c r="C30" s="27"/>
      <c r="D30" s="25" t="str">
        <f>IFERROR(__xludf.DUMMYFUNCTION("""COMPUTED_VALUE"""),"Técnicas y herramientas de segmentación de mercado, tipos de analisis de datos.")</f>
        <v>Técnicas y herramientas de segmentación de mercado, tipos de analisis de datos.</v>
      </c>
      <c r="E30" s="27"/>
      <c r="F30" s="25" t="str">
        <f>IFERROR(__xludf.DUMMYFUNCTION("""COMPUTED_VALUE"""),"Analisis en la creación de campañas")</f>
        <v>Analisis en la creación de campañas</v>
      </c>
      <c r="G30" s="26"/>
      <c r="H30" s="27"/>
    </row>
    <row r="31" ht="15.75" customHeight="1">
      <c r="A31" s="28">
        <v>4.0</v>
      </c>
      <c r="B31" s="25" t="str">
        <f>IFERROR(__xludf.DUMMYFUNCTION("""COMPUTED_VALUE"""),"Unidad 7 Marketing")</f>
        <v>Unidad 7 Marketing</v>
      </c>
      <c r="C31" s="27"/>
      <c r="D31" s="25" t="str">
        <f>IFERROR(__xludf.DUMMYFUNCTION("""COMPUTED_VALUE"""),"Técnicas y herramientas de segmentación de mercado, tipos de analisis de datos.")</f>
        <v>Técnicas y herramientas de segmentación de mercado, tipos de analisis de datos.</v>
      </c>
      <c r="E31" s="27"/>
      <c r="F31" s="25" t="str">
        <f>IFERROR(__xludf.DUMMYFUNCTION("""COMPUTED_VALUE"""),"Herramientas de publicidad digital.")</f>
        <v>Herramientas de publicidad digital.</v>
      </c>
      <c r="G31" s="26"/>
      <c r="H31" s="27"/>
    </row>
    <row r="32" ht="15.75" customHeight="1">
      <c r="A32" s="28">
        <v>5.0</v>
      </c>
      <c r="B32" s="25" t="str">
        <f>IFERROR(__xludf.DUMMYFUNCTION("""COMPUTED_VALUE"""),"Unidad 7 Marketing")</f>
        <v>Unidad 7 Marketing</v>
      </c>
      <c r="C32" s="27"/>
      <c r="D32" s="25" t="str">
        <f>IFERROR(__xludf.DUMMYFUNCTION("""COMPUTED_VALUE"""),"Técnicas y herramientas de segmentación de mercado, tipos de analisis de datos.")</f>
        <v>Técnicas y herramientas de segmentación de mercado, tipos de analisis de datos.</v>
      </c>
      <c r="E32" s="27"/>
      <c r="F32" s="25" t="str">
        <f>IFERROR(__xludf.DUMMYFUNCTION("""COMPUTED_VALUE"""),"Conceptos y herramientas.")</f>
        <v>Conceptos y herramientas.</v>
      </c>
      <c r="G32" s="26"/>
      <c r="H32" s="27"/>
    </row>
    <row r="33" ht="15.75" customHeight="1">
      <c r="A33" s="28">
        <v>6.0</v>
      </c>
      <c r="B33" s="25" t="str">
        <f>IFERROR(__xludf.DUMMYFUNCTION("""COMPUTED_VALUE"""),"Unidad 7 Marketing")</f>
        <v>Unidad 7 Marketing</v>
      </c>
      <c r="C33" s="27"/>
      <c r="D33" s="25" t="str">
        <f>IFERROR(__xludf.DUMMYFUNCTION("""COMPUTED_VALUE"""),"Técnicas y herramientas de segmentación de mercado, tipos de analisis de datos.")</f>
        <v>Técnicas y herramientas de segmentación de mercado, tipos de analisis de datos.</v>
      </c>
      <c r="E33" s="27"/>
      <c r="F33" s="25" t="str">
        <f>IFERROR(__xludf.DUMMYFUNCTION("""COMPUTED_VALUE"""),"Estudio de técnicas, medición y optimización.")</f>
        <v>Estudio de técnicas, medición y optimización.</v>
      </c>
      <c r="G33" s="26"/>
      <c r="H33" s="27"/>
    </row>
    <row r="34" ht="15.75" customHeight="1">
      <c r="A34" s="28">
        <v>7.0</v>
      </c>
      <c r="B34" s="25"/>
      <c r="C34" s="27"/>
      <c r="D34" s="25"/>
      <c r="E34" s="27"/>
      <c r="F34" s="25"/>
      <c r="G34" s="26"/>
      <c r="H34" s="27"/>
    </row>
    <row r="35" ht="15.75" customHeight="1"/>
    <row r="36" ht="15.75" customHeight="1">
      <c r="A36" s="56" t="s">
        <v>201</v>
      </c>
    </row>
    <row r="37" ht="15.75" customHeight="1">
      <c r="A37" s="5"/>
      <c r="B37" s="5"/>
      <c r="C37" s="5"/>
      <c r="D37" s="5"/>
      <c r="E37" s="5"/>
      <c r="F37" s="5"/>
      <c r="G37" s="5"/>
      <c r="H37" s="5"/>
    </row>
    <row r="38" ht="15.75" customHeight="1">
      <c r="A38" s="57" t="s">
        <v>202</v>
      </c>
      <c r="B38" s="57" t="s">
        <v>203</v>
      </c>
      <c r="C38" s="60" t="s">
        <v>204</v>
      </c>
      <c r="D38" s="61" t="s">
        <v>144</v>
      </c>
      <c r="E38" s="26"/>
      <c r="F38" s="26"/>
      <c r="G38" s="26"/>
      <c r="H38" s="27"/>
    </row>
    <row r="39" ht="15.75" customHeight="1">
      <c r="A39" s="28" t="s">
        <v>205</v>
      </c>
      <c r="B39" s="28" t="s">
        <v>206</v>
      </c>
      <c r="C39" s="28"/>
      <c r="D39" s="25"/>
      <c r="E39" s="26"/>
      <c r="F39" s="26"/>
      <c r="G39" s="26"/>
      <c r="H39" s="27"/>
    </row>
    <row r="40" ht="15.75" customHeight="1">
      <c r="A40" s="28" t="s">
        <v>207</v>
      </c>
      <c r="B40" s="28" t="s">
        <v>206</v>
      </c>
      <c r="C40" s="28" t="s">
        <v>208</v>
      </c>
      <c r="D40" s="25"/>
      <c r="E40" s="26"/>
      <c r="F40" s="26"/>
      <c r="G40" s="26"/>
      <c r="H40" s="27"/>
    </row>
    <row r="41" ht="15.75" customHeight="1">
      <c r="A41" s="28" t="s">
        <v>209</v>
      </c>
      <c r="B41" s="28" t="s">
        <v>210</v>
      </c>
      <c r="C41" s="28"/>
      <c r="D41" s="25"/>
      <c r="E41" s="26"/>
      <c r="F41" s="26"/>
      <c r="G41" s="26"/>
      <c r="H41" s="27"/>
    </row>
    <row r="42" ht="15.75" customHeight="1">
      <c r="A42" s="28" t="s">
        <v>211</v>
      </c>
      <c r="B42" s="28" t="s">
        <v>206</v>
      </c>
      <c r="C42" s="28"/>
      <c r="D42" s="25"/>
      <c r="E42" s="26"/>
      <c r="F42" s="26"/>
      <c r="G42" s="26"/>
      <c r="H42" s="27"/>
    </row>
    <row r="43" ht="15.75" customHeight="1"/>
    <row r="44" ht="15.75" customHeight="1">
      <c r="A44" s="46" t="s">
        <v>212</v>
      </c>
      <c r="G44" s="40" t="s">
        <v>144</v>
      </c>
      <c r="H44" s="47">
        <v>20.0</v>
      </c>
    </row>
    <row r="45" ht="15.75" customHeight="1">
      <c r="G45" s="32" t="s">
        <v>213</v>
      </c>
    </row>
    <row r="46" ht="15.75" customHeight="1">
      <c r="A46" s="32" t="s">
        <v>214</v>
      </c>
    </row>
    <row r="47" ht="15.75" customHeight="1">
      <c r="A47" s="36" t="s">
        <v>215</v>
      </c>
      <c r="B47" s="25" t="s">
        <v>242</v>
      </c>
      <c r="C47" s="26"/>
      <c r="D47" s="26"/>
      <c r="E47" s="26"/>
      <c r="F47" s="26"/>
      <c r="G47" s="26"/>
      <c r="H47" s="27"/>
    </row>
    <row r="48" ht="15.75" customHeight="1">
      <c r="A48" s="36" t="s">
        <v>216</v>
      </c>
      <c r="B48" s="25" t="s">
        <v>265</v>
      </c>
      <c r="C48" s="26"/>
      <c r="D48" s="26"/>
      <c r="E48" s="26"/>
      <c r="F48" s="26"/>
      <c r="G48" s="26"/>
      <c r="H48" s="27"/>
    </row>
    <row r="49" ht="15.75" customHeight="1">
      <c r="A49" s="36" t="s">
        <v>184</v>
      </c>
      <c r="B49" s="62">
        <v>0.0</v>
      </c>
      <c r="C49" s="26"/>
      <c r="D49" s="26"/>
      <c r="E49" s="26"/>
      <c r="F49" s="26"/>
      <c r="G49" s="26"/>
      <c r="H49" s="27"/>
    </row>
    <row r="50" ht="15.75" customHeight="1">
      <c r="A50" s="36" t="s">
        <v>144</v>
      </c>
      <c r="B50" s="25">
        <v>0.0</v>
      </c>
      <c r="C50" s="26"/>
      <c r="D50" s="26"/>
      <c r="E50" s="26"/>
      <c r="F50" s="26"/>
      <c r="G50" s="26"/>
      <c r="H50" s="27"/>
    </row>
    <row r="51" ht="15.75" customHeight="1">
      <c r="A51" s="42" t="s">
        <v>218</v>
      </c>
      <c r="B51" s="5"/>
      <c r="C51" s="5"/>
      <c r="D51" s="5"/>
      <c r="E51" s="5"/>
      <c r="F51" s="5"/>
      <c r="G51" s="5"/>
      <c r="H51" s="5"/>
    </row>
    <row r="52" ht="15.75" customHeight="1">
      <c r="A52" s="48" t="s">
        <v>219</v>
      </c>
      <c r="B52" s="26"/>
      <c r="C52" s="26"/>
      <c r="D52" s="26"/>
      <c r="E52" s="26"/>
      <c r="F52" s="26"/>
      <c r="G52" s="26"/>
      <c r="H52" s="27"/>
    </row>
    <row r="53" ht="15.75" customHeight="1">
      <c r="A53" s="49" t="s">
        <v>261</v>
      </c>
      <c r="B53" s="50"/>
      <c r="C53" s="50"/>
      <c r="D53" s="50"/>
      <c r="E53" s="50"/>
      <c r="F53" s="50"/>
      <c r="G53" s="50"/>
      <c r="H53" s="51"/>
    </row>
    <row r="54" ht="15.75" customHeight="1">
      <c r="A54" s="63"/>
      <c r="H54" s="64"/>
    </row>
    <row r="55" ht="15.75" customHeight="1">
      <c r="A55" s="52"/>
      <c r="B55" s="53"/>
      <c r="C55" s="53"/>
      <c r="D55" s="53"/>
      <c r="E55" s="53"/>
      <c r="F55" s="53"/>
      <c r="G55" s="53"/>
      <c r="H55" s="54"/>
    </row>
    <row r="56" ht="15.75" customHeight="1"/>
    <row r="57" ht="15.75" customHeight="1">
      <c r="A57" s="32" t="s">
        <v>221</v>
      </c>
    </row>
    <row r="58" ht="15.75" customHeight="1">
      <c r="A58" s="36" t="s">
        <v>215</v>
      </c>
      <c r="B58" s="25"/>
      <c r="C58" s="26"/>
      <c r="D58" s="26"/>
      <c r="E58" s="26"/>
      <c r="F58" s="26"/>
      <c r="G58" s="26"/>
      <c r="H58" s="27"/>
    </row>
    <row r="59" ht="15.75" customHeight="1">
      <c r="A59" s="36" t="s">
        <v>216</v>
      </c>
      <c r="B59" s="25"/>
      <c r="C59" s="26"/>
      <c r="D59" s="26"/>
      <c r="E59" s="26"/>
      <c r="F59" s="26"/>
      <c r="G59" s="26"/>
      <c r="H59" s="27"/>
    </row>
    <row r="60" ht="15.75" customHeight="1">
      <c r="A60" s="36" t="s">
        <v>184</v>
      </c>
      <c r="B60" s="62"/>
      <c r="C60" s="26"/>
      <c r="D60" s="26"/>
      <c r="E60" s="26"/>
      <c r="F60" s="26"/>
      <c r="G60" s="26"/>
      <c r="H60" s="27"/>
    </row>
    <row r="61" ht="15.75" customHeight="1">
      <c r="A61" s="36" t="s">
        <v>144</v>
      </c>
      <c r="B61" s="62"/>
      <c r="C61" s="26"/>
      <c r="D61" s="26"/>
      <c r="E61" s="26"/>
      <c r="F61" s="26"/>
      <c r="G61" s="26"/>
      <c r="H61" s="27"/>
    </row>
    <row r="62" ht="15.75" customHeight="1">
      <c r="A62" s="65" t="s">
        <v>222</v>
      </c>
      <c r="B62" s="5"/>
      <c r="C62" s="5"/>
      <c r="D62" s="5"/>
      <c r="E62" s="5"/>
      <c r="F62" s="5"/>
      <c r="G62" s="5"/>
      <c r="H62" s="5"/>
    </row>
    <row r="63" ht="15.75" customHeight="1">
      <c r="A63" s="48" t="s">
        <v>219</v>
      </c>
      <c r="B63" s="26"/>
      <c r="C63" s="26"/>
      <c r="D63" s="26"/>
      <c r="E63" s="26"/>
      <c r="F63" s="26"/>
      <c r="G63" s="26"/>
      <c r="H63" s="27"/>
    </row>
    <row r="64" ht="15.75" customHeight="1">
      <c r="A64" s="66"/>
      <c r="B64" s="50"/>
      <c r="C64" s="50"/>
      <c r="D64" s="50"/>
      <c r="E64" s="50"/>
      <c r="F64" s="50"/>
      <c r="G64" s="50"/>
      <c r="H64" s="51"/>
    </row>
    <row r="65" ht="15.75" customHeight="1">
      <c r="A65" s="63"/>
      <c r="H65" s="64"/>
    </row>
    <row r="66" ht="15.75" customHeight="1">
      <c r="A66" s="52"/>
      <c r="B66" s="53"/>
      <c r="C66" s="53"/>
      <c r="D66" s="53"/>
      <c r="E66" s="53"/>
      <c r="F66" s="53"/>
      <c r="G66" s="53"/>
      <c r="H66" s="54"/>
    </row>
    <row r="67" ht="15.75" customHeight="1"/>
    <row r="68" ht="15.75" customHeight="1">
      <c r="A68" s="46" t="s">
        <v>223</v>
      </c>
      <c r="G68" s="40" t="s">
        <v>144</v>
      </c>
      <c r="H68" s="47">
        <v>20.0</v>
      </c>
    </row>
    <row r="69" ht="15.75" customHeight="1">
      <c r="G69" s="32" t="s">
        <v>224</v>
      </c>
    </row>
    <row r="70" ht="15.75" customHeight="1">
      <c r="A70" s="36" t="s">
        <v>144</v>
      </c>
      <c r="B70" s="62"/>
      <c r="C70" s="26"/>
      <c r="D70" s="26"/>
      <c r="E70" s="26"/>
      <c r="F70" s="26"/>
      <c r="G70" s="26"/>
      <c r="H70" s="27"/>
    </row>
    <row r="71" ht="15.75" customHeight="1">
      <c r="A71" s="61" t="s">
        <v>225</v>
      </c>
      <c r="B71" s="26"/>
      <c r="C71" s="26"/>
      <c r="D71" s="26"/>
      <c r="E71" s="26"/>
      <c r="F71" s="26"/>
      <c r="G71" s="26"/>
      <c r="H71" s="27"/>
    </row>
    <row r="72" ht="15.75" customHeight="1">
      <c r="A72" s="49" t="s">
        <v>266</v>
      </c>
      <c r="B72" s="50"/>
      <c r="C72" s="50"/>
      <c r="D72" s="50"/>
      <c r="E72" s="50"/>
      <c r="F72" s="50"/>
      <c r="G72" s="50"/>
      <c r="H72" s="51"/>
    </row>
    <row r="73" ht="15.75" customHeight="1">
      <c r="A73" s="52"/>
      <c r="B73" s="53"/>
      <c r="C73" s="53"/>
      <c r="D73" s="53"/>
      <c r="E73" s="53"/>
      <c r="F73" s="53"/>
      <c r="G73" s="53"/>
      <c r="H73" s="54"/>
    </row>
    <row r="74" ht="15.75" customHeight="1">
      <c r="A74" s="32" t="s">
        <v>227</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4" t="s">
        <v>267</v>
      </c>
    </row>
    <row r="3" ht="15.75" customHeight="1"/>
    <row r="4" ht="15.75" customHeight="1">
      <c r="B4" s="24" t="s">
        <v>1</v>
      </c>
      <c r="C4" s="25" t="str">
        <f>'Diseño'!C4</f>
        <v>787 - Sistemas Organizacionales y Gerenciales 2</v>
      </c>
      <c r="D4" s="26"/>
      <c r="E4" s="26"/>
      <c r="F4" s="26"/>
      <c r="G4" s="27"/>
    </row>
    <row r="5" ht="15.75" customHeight="1">
      <c r="B5" s="45" t="s">
        <v>142</v>
      </c>
      <c r="C5" s="25">
        <f>H9+H26+H43</f>
        <v>30</v>
      </c>
      <c r="D5" s="26"/>
      <c r="E5" s="26"/>
      <c r="F5" s="26"/>
      <c r="G5" s="27"/>
    </row>
    <row r="6" ht="15.75" customHeight="1">
      <c r="B6" s="45" t="s">
        <v>184</v>
      </c>
      <c r="C6" s="25">
        <f>F9+F26+F43</f>
        <v>35</v>
      </c>
      <c r="D6" s="26"/>
      <c r="E6" s="26"/>
      <c r="F6" s="26"/>
      <c r="G6" s="27"/>
    </row>
    <row r="7" ht="15.75" customHeight="1">
      <c r="B7" s="6" t="s">
        <v>268</v>
      </c>
    </row>
    <row r="8" ht="15.75" customHeight="1"/>
    <row r="9" ht="15.75" customHeight="1">
      <c r="A9" s="46" t="s">
        <v>269</v>
      </c>
      <c r="E9" s="40" t="s">
        <v>184</v>
      </c>
      <c r="F9" s="47">
        <v>35.0</v>
      </c>
      <c r="G9" s="40" t="s">
        <v>270</v>
      </c>
      <c r="H9" s="47">
        <v>30.0</v>
      </c>
    </row>
    <row r="10" ht="15.75" customHeight="1">
      <c r="A10" s="6" t="s">
        <v>206</v>
      </c>
    </row>
    <row r="11" ht="15.75" customHeight="1">
      <c r="A11" s="57" t="s">
        <v>196</v>
      </c>
      <c r="B11" s="37" t="s">
        <v>231</v>
      </c>
      <c r="C11" s="26"/>
      <c r="D11" s="26"/>
      <c r="E11" s="26"/>
      <c r="F11" s="26"/>
      <c r="G11" s="26"/>
      <c r="H11" s="27"/>
    </row>
    <row r="12" ht="15.75" customHeight="1">
      <c r="A12" s="57" t="s">
        <v>196</v>
      </c>
      <c r="B12" s="37" t="s">
        <v>234</v>
      </c>
      <c r="C12" s="26"/>
      <c r="D12" s="26"/>
      <c r="E12" s="26"/>
      <c r="F12" s="26"/>
      <c r="G12" s="26"/>
      <c r="H12" s="27"/>
    </row>
    <row r="13" ht="15.75" customHeight="1">
      <c r="A13" s="57" t="s">
        <v>196</v>
      </c>
      <c r="B13" s="37" t="s">
        <v>47</v>
      </c>
      <c r="C13" s="26"/>
      <c r="D13" s="26"/>
      <c r="E13" s="26"/>
      <c r="F13" s="26"/>
      <c r="G13" s="26"/>
      <c r="H13" s="27"/>
    </row>
    <row r="14" ht="15.75" customHeight="1">
      <c r="A14" s="57" t="s">
        <v>271</v>
      </c>
      <c r="B14" s="37" t="s">
        <v>272</v>
      </c>
      <c r="C14" s="26"/>
      <c r="D14" s="26"/>
      <c r="E14" s="26"/>
      <c r="F14" s="26"/>
      <c r="G14" s="26"/>
      <c r="H14" s="27"/>
    </row>
    <row r="15" ht="15.75" customHeight="1">
      <c r="A15" s="48" t="s">
        <v>273</v>
      </c>
      <c r="B15" s="26"/>
      <c r="C15" s="26"/>
      <c r="D15" s="26"/>
      <c r="E15" s="26"/>
      <c r="F15" s="26"/>
      <c r="G15" s="26"/>
      <c r="H15" s="27"/>
    </row>
    <row r="16" ht="15.75" customHeight="1">
      <c r="A16" s="49" t="s">
        <v>274</v>
      </c>
      <c r="B16" s="50"/>
      <c r="C16" s="50"/>
      <c r="D16" s="50"/>
      <c r="E16" s="50"/>
      <c r="F16" s="50"/>
      <c r="G16" s="50"/>
      <c r="H16" s="51"/>
    </row>
    <row r="17" ht="15.75" customHeight="1">
      <c r="A17" s="63"/>
      <c r="H17" s="64"/>
    </row>
    <row r="18" ht="15.75" customHeight="1">
      <c r="A18" s="52"/>
      <c r="B18" s="53"/>
      <c r="C18" s="53"/>
      <c r="D18" s="53"/>
      <c r="E18" s="53"/>
      <c r="F18" s="53"/>
      <c r="G18" s="53"/>
      <c r="H18" s="54"/>
    </row>
    <row r="19" ht="15.75" customHeight="1">
      <c r="A19" s="48" t="s">
        <v>275</v>
      </c>
      <c r="B19" s="26"/>
      <c r="C19" s="26"/>
      <c r="D19" s="26"/>
      <c r="E19" s="26"/>
      <c r="F19" s="26"/>
      <c r="G19" s="26"/>
      <c r="H19" s="27"/>
    </row>
    <row r="20" ht="15.75" customHeight="1">
      <c r="A20" s="49" t="s">
        <v>276</v>
      </c>
      <c r="B20" s="50"/>
      <c r="C20" s="50"/>
      <c r="D20" s="50"/>
      <c r="E20" s="50"/>
      <c r="F20" s="50"/>
      <c r="G20" s="50"/>
      <c r="H20" s="51"/>
    </row>
    <row r="21" ht="15.75" customHeight="1">
      <c r="A21" s="63"/>
      <c r="H21" s="64"/>
    </row>
    <row r="22" ht="15.75" customHeight="1">
      <c r="A22" s="63"/>
      <c r="H22" s="64"/>
    </row>
    <row r="23" ht="15.75" customHeight="1">
      <c r="A23" s="52"/>
      <c r="B23" s="53"/>
      <c r="C23" s="53"/>
      <c r="D23" s="53"/>
      <c r="E23" s="53"/>
      <c r="F23" s="53"/>
      <c r="G23" s="53"/>
      <c r="H23" s="54"/>
    </row>
    <row r="24" ht="15.75" customHeight="1"/>
    <row r="25" ht="15.75" customHeight="1"/>
    <row r="26" ht="15.75" customHeight="1">
      <c r="A26" s="46" t="s">
        <v>277</v>
      </c>
      <c r="E26" s="40" t="s">
        <v>184</v>
      </c>
      <c r="F26" s="55"/>
      <c r="G26" s="40" t="s">
        <v>270</v>
      </c>
      <c r="H26" s="55"/>
    </row>
    <row r="27" ht="15.75" customHeight="1">
      <c r="A27" s="6" t="s">
        <v>206</v>
      </c>
    </row>
    <row r="28" ht="15.75" customHeight="1">
      <c r="A28" s="57" t="s">
        <v>196</v>
      </c>
      <c r="B28" s="25"/>
      <c r="C28" s="26"/>
      <c r="D28" s="26"/>
      <c r="E28" s="26"/>
      <c r="F28" s="26"/>
      <c r="G28" s="26"/>
      <c r="H28" s="27"/>
    </row>
    <row r="29" ht="15.75" customHeight="1">
      <c r="A29" s="57" t="s">
        <v>196</v>
      </c>
      <c r="B29" s="25"/>
      <c r="C29" s="26"/>
      <c r="D29" s="26"/>
      <c r="E29" s="26"/>
      <c r="F29" s="26"/>
      <c r="G29" s="26"/>
      <c r="H29" s="27"/>
    </row>
    <row r="30" ht="15.75" customHeight="1">
      <c r="A30" s="57" t="s">
        <v>196</v>
      </c>
      <c r="B30" s="25"/>
      <c r="C30" s="26"/>
      <c r="D30" s="26"/>
      <c r="E30" s="26"/>
      <c r="F30" s="26"/>
      <c r="G30" s="26"/>
      <c r="H30" s="27"/>
    </row>
    <row r="31" ht="15.75" customHeight="1">
      <c r="A31" s="57" t="s">
        <v>271</v>
      </c>
      <c r="B31" s="25"/>
      <c r="C31" s="26"/>
      <c r="D31" s="26"/>
      <c r="E31" s="26"/>
      <c r="F31" s="26"/>
      <c r="G31" s="26"/>
      <c r="H31" s="27"/>
    </row>
    <row r="32" ht="15.75" customHeight="1">
      <c r="A32" s="48" t="s">
        <v>273</v>
      </c>
      <c r="B32" s="26"/>
      <c r="C32" s="26"/>
      <c r="D32" s="26"/>
      <c r="E32" s="26"/>
      <c r="F32" s="26"/>
      <c r="G32" s="26"/>
      <c r="H32" s="27"/>
    </row>
    <row r="33" ht="15.75" customHeight="1">
      <c r="A33" s="66"/>
      <c r="B33" s="50"/>
      <c r="C33" s="50"/>
      <c r="D33" s="50"/>
      <c r="E33" s="50"/>
      <c r="F33" s="50"/>
      <c r="G33" s="50"/>
      <c r="H33" s="51"/>
    </row>
    <row r="34" ht="15.75" customHeight="1">
      <c r="A34" s="63"/>
      <c r="H34" s="64"/>
    </row>
    <row r="35" ht="15.75" customHeight="1">
      <c r="A35" s="52"/>
      <c r="B35" s="53"/>
      <c r="C35" s="53"/>
      <c r="D35" s="53"/>
      <c r="E35" s="53"/>
      <c r="F35" s="53"/>
      <c r="G35" s="53"/>
      <c r="H35" s="54"/>
    </row>
    <row r="36" ht="15.75" customHeight="1">
      <c r="A36" s="48" t="s">
        <v>275</v>
      </c>
      <c r="B36" s="26"/>
      <c r="C36" s="26"/>
      <c r="D36" s="26"/>
      <c r="E36" s="26"/>
      <c r="F36" s="26"/>
      <c r="G36" s="26"/>
      <c r="H36" s="27"/>
    </row>
    <row r="37" ht="15.75" customHeight="1">
      <c r="A37" s="66"/>
      <c r="B37" s="50"/>
      <c r="C37" s="50"/>
      <c r="D37" s="50"/>
      <c r="E37" s="50"/>
      <c r="F37" s="50"/>
      <c r="G37" s="50"/>
      <c r="H37" s="51"/>
    </row>
    <row r="38" ht="15.75" customHeight="1">
      <c r="A38" s="63"/>
      <c r="H38" s="64"/>
    </row>
    <row r="39" ht="15.75" customHeight="1">
      <c r="A39" s="63"/>
      <c r="H39" s="64"/>
    </row>
    <row r="40" ht="15.75" customHeight="1">
      <c r="A40" s="52"/>
      <c r="B40" s="53"/>
      <c r="C40" s="53"/>
      <c r="D40" s="53"/>
      <c r="E40" s="53"/>
      <c r="F40" s="53"/>
      <c r="G40" s="53"/>
      <c r="H40" s="54"/>
    </row>
    <row r="41" ht="15.75" customHeight="1"/>
    <row r="42" ht="15.75" customHeight="1"/>
    <row r="43" ht="15.75" customHeight="1">
      <c r="A43" s="46" t="s">
        <v>278</v>
      </c>
      <c r="E43" s="40" t="s">
        <v>184</v>
      </c>
      <c r="F43" s="55"/>
      <c r="G43" s="40" t="s">
        <v>270</v>
      </c>
      <c r="H43" s="55"/>
    </row>
    <row r="44" ht="15.75" customHeight="1">
      <c r="A44" s="42" t="s">
        <v>279</v>
      </c>
    </row>
    <row r="45" ht="15.75" customHeight="1">
      <c r="A45" s="57" t="s">
        <v>196</v>
      </c>
      <c r="B45" s="25"/>
      <c r="C45" s="26"/>
      <c r="D45" s="26"/>
      <c r="E45" s="26"/>
      <c r="F45" s="26"/>
      <c r="G45" s="26"/>
      <c r="H45" s="27"/>
    </row>
    <row r="46" ht="15.75" customHeight="1">
      <c r="A46" s="57" t="s">
        <v>196</v>
      </c>
      <c r="B46" s="25"/>
      <c r="C46" s="26"/>
      <c r="D46" s="26"/>
      <c r="E46" s="26"/>
      <c r="F46" s="26"/>
      <c r="G46" s="26"/>
      <c r="H46" s="27"/>
    </row>
    <row r="47" ht="15.75" customHeight="1">
      <c r="A47" s="57" t="s">
        <v>196</v>
      </c>
      <c r="B47" s="25"/>
      <c r="C47" s="26"/>
      <c r="D47" s="26"/>
      <c r="E47" s="26"/>
      <c r="F47" s="26"/>
      <c r="G47" s="26"/>
      <c r="H47" s="27"/>
    </row>
    <row r="48" ht="15.75" customHeight="1">
      <c r="A48" s="57" t="s">
        <v>271</v>
      </c>
      <c r="B48" s="25"/>
      <c r="C48" s="26"/>
      <c r="D48" s="26"/>
      <c r="E48" s="26"/>
      <c r="F48" s="26"/>
      <c r="G48" s="26"/>
      <c r="H48" s="27"/>
    </row>
    <row r="49" ht="15.75" customHeight="1">
      <c r="A49" s="48" t="s">
        <v>273</v>
      </c>
      <c r="B49" s="26"/>
      <c r="C49" s="26"/>
      <c r="D49" s="26"/>
      <c r="E49" s="26"/>
      <c r="F49" s="26"/>
      <c r="G49" s="26"/>
      <c r="H49" s="27"/>
    </row>
    <row r="50" ht="15.75" customHeight="1">
      <c r="A50" s="66"/>
      <c r="B50" s="50"/>
      <c r="C50" s="50"/>
      <c r="D50" s="50"/>
      <c r="E50" s="50"/>
      <c r="F50" s="50"/>
      <c r="G50" s="50"/>
      <c r="H50" s="51"/>
    </row>
    <row r="51" ht="15.75" customHeight="1">
      <c r="A51" s="63"/>
      <c r="H51" s="64"/>
    </row>
    <row r="52" ht="15.75" customHeight="1">
      <c r="A52" s="52"/>
      <c r="B52" s="53"/>
      <c r="C52" s="53"/>
      <c r="D52" s="53"/>
      <c r="E52" s="53"/>
      <c r="F52" s="53"/>
      <c r="G52" s="53"/>
      <c r="H52" s="54"/>
    </row>
    <row r="53" ht="15.75" customHeight="1">
      <c r="A53" s="48" t="s">
        <v>275</v>
      </c>
      <c r="B53" s="26"/>
      <c r="C53" s="26"/>
      <c r="D53" s="26"/>
      <c r="E53" s="26"/>
      <c r="F53" s="26"/>
      <c r="G53" s="26"/>
      <c r="H53" s="27"/>
    </row>
    <row r="54" ht="15.75" customHeight="1">
      <c r="A54" s="66"/>
      <c r="B54" s="50"/>
      <c r="C54" s="50"/>
      <c r="D54" s="50"/>
      <c r="E54" s="50"/>
      <c r="F54" s="50"/>
      <c r="G54" s="50"/>
      <c r="H54" s="51"/>
    </row>
    <row r="55" ht="15.75" customHeight="1">
      <c r="A55" s="63"/>
      <c r="H55" s="64"/>
    </row>
    <row r="56" ht="15.75" customHeight="1">
      <c r="A56" s="63"/>
      <c r="H56" s="64"/>
    </row>
    <row r="57" ht="15.75" customHeight="1">
      <c r="A57" s="52"/>
      <c r="B57" s="53"/>
      <c r="C57" s="53"/>
      <c r="D57" s="53"/>
      <c r="E57" s="53"/>
      <c r="F57" s="53"/>
      <c r="G57" s="53"/>
      <c r="H57" s="5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4" t="s">
        <v>280</v>
      </c>
    </row>
    <row r="3" ht="15.75" customHeight="1"/>
    <row r="4" ht="15.75" customHeight="1">
      <c r="B4" s="24" t="s">
        <v>1</v>
      </c>
      <c r="C4" s="25" t="str">
        <f>'Diseño'!C4</f>
        <v>787 - Sistemas Organizacionales y Gerenciales 2</v>
      </c>
      <c r="D4" s="26"/>
      <c r="E4" s="26"/>
      <c r="F4" s="26"/>
      <c r="G4" s="27"/>
    </row>
    <row r="5" ht="15.75" customHeight="1">
      <c r="B5" s="45" t="s">
        <v>142</v>
      </c>
      <c r="C5" s="37">
        <v>20.0</v>
      </c>
      <c r="D5" s="26"/>
      <c r="E5" s="26"/>
      <c r="F5" s="26"/>
      <c r="G5" s="27"/>
    </row>
    <row r="6" ht="15.75" customHeight="1">
      <c r="B6" s="45" t="s">
        <v>184</v>
      </c>
      <c r="C6" s="37">
        <v>15.0</v>
      </c>
      <c r="D6" s="26"/>
      <c r="E6" s="26"/>
      <c r="F6" s="26"/>
      <c r="G6" s="27"/>
    </row>
    <row r="7" ht="15.75" customHeight="1">
      <c r="B7" s="6" t="s">
        <v>281</v>
      </c>
    </row>
    <row r="8" ht="15.75" customHeight="1"/>
    <row r="9" ht="15.75" customHeight="1">
      <c r="A9" s="46" t="s">
        <v>282</v>
      </c>
      <c r="E9" s="40" t="s">
        <v>184</v>
      </c>
      <c r="F9" s="47">
        <v>15.0</v>
      </c>
      <c r="G9" s="40" t="s">
        <v>270</v>
      </c>
      <c r="H9" s="47">
        <v>20.0</v>
      </c>
    </row>
    <row r="10" ht="15.75" customHeight="1">
      <c r="A10" s="6" t="s">
        <v>283</v>
      </c>
    </row>
    <row r="11" ht="15.75" customHeight="1">
      <c r="A11" s="57" t="s">
        <v>196</v>
      </c>
      <c r="B11" s="37" t="s">
        <v>12</v>
      </c>
      <c r="C11" s="26"/>
      <c r="D11" s="26"/>
      <c r="E11" s="26"/>
      <c r="F11" s="26"/>
      <c r="G11" s="26"/>
      <c r="H11" s="27"/>
    </row>
    <row r="12" ht="15.75" customHeight="1">
      <c r="A12" s="57" t="s">
        <v>196</v>
      </c>
      <c r="B12" s="37" t="s">
        <v>49</v>
      </c>
      <c r="C12" s="26"/>
      <c r="D12" s="26"/>
      <c r="E12" s="26"/>
      <c r="F12" s="26"/>
      <c r="G12" s="26"/>
      <c r="H12" s="27"/>
    </row>
    <row r="13" ht="15.75" customHeight="1">
      <c r="A13" s="57" t="s">
        <v>196</v>
      </c>
      <c r="B13" s="25"/>
      <c r="C13" s="26"/>
      <c r="D13" s="26"/>
      <c r="E13" s="26"/>
      <c r="F13" s="26"/>
      <c r="G13" s="26"/>
      <c r="H13" s="27"/>
    </row>
    <row r="14" ht="15.75" customHeight="1">
      <c r="A14" s="57" t="s">
        <v>271</v>
      </c>
      <c r="B14" s="37" t="s">
        <v>284</v>
      </c>
      <c r="C14" s="26"/>
      <c r="D14" s="26"/>
      <c r="E14" s="26"/>
      <c r="F14" s="26"/>
      <c r="G14" s="26"/>
      <c r="H14" s="27"/>
    </row>
    <row r="15" ht="15.75" customHeight="1">
      <c r="A15" s="48" t="s">
        <v>273</v>
      </c>
      <c r="B15" s="26"/>
      <c r="C15" s="26"/>
      <c r="D15" s="26"/>
      <c r="E15" s="26"/>
      <c r="F15" s="26"/>
      <c r="G15" s="26"/>
      <c r="H15" s="27"/>
    </row>
    <row r="16" ht="15.75" customHeight="1">
      <c r="A16" s="49" t="s">
        <v>285</v>
      </c>
      <c r="B16" s="50"/>
      <c r="C16" s="50"/>
      <c r="D16" s="50"/>
      <c r="E16" s="50"/>
      <c r="F16" s="50"/>
      <c r="G16" s="50"/>
      <c r="H16" s="51"/>
    </row>
    <row r="17" ht="15.75" customHeight="1">
      <c r="A17" s="63"/>
      <c r="H17" s="64"/>
    </row>
    <row r="18" ht="15.75" customHeight="1">
      <c r="A18" s="52"/>
      <c r="B18" s="53"/>
      <c r="C18" s="53"/>
      <c r="D18" s="53"/>
      <c r="E18" s="53"/>
      <c r="F18" s="53"/>
      <c r="G18" s="53"/>
      <c r="H18" s="54"/>
    </row>
    <row r="19" ht="15.75" customHeight="1">
      <c r="A19" s="48" t="s">
        <v>275</v>
      </c>
      <c r="B19" s="26"/>
      <c r="C19" s="26"/>
      <c r="D19" s="26"/>
      <c r="E19" s="26"/>
      <c r="F19" s="26"/>
      <c r="G19" s="26"/>
      <c r="H19" s="27"/>
    </row>
    <row r="20" ht="15.75" customHeight="1">
      <c r="A20" s="74" t="s">
        <v>286</v>
      </c>
      <c r="B20" s="50"/>
      <c r="C20" s="50"/>
      <c r="D20" s="50"/>
      <c r="E20" s="50"/>
      <c r="F20" s="50"/>
      <c r="G20" s="50"/>
      <c r="H20" s="51"/>
    </row>
    <row r="21" ht="15.75" customHeight="1">
      <c r="A21" s="63"/>
      <c r="H21" s="64"/>
    </row>
    <row r="22" ht="15.75" customHeight="1">
      <c r="A22" s="63"/>
      <c r="H22" s="64"/>
    </row>
    <row r="23" ht="15.75" customHeight="1">
      <c r="A23" s="52"/>
      <c r="B23" s="53"/>
      <c r="C23" s="53"/>
      <c r="D23" s="53"/>
      <c r="E23" s="53"/>
      <c r="F23" s="53"/>
      <c r="G23" s="53"/>
      <c r="H23" s="54"/>
    </row>
    <row r="24" ht="15.75" customHeight="1"/>
    <row r="25" ht="15.75" customHeight="1"/>
    <row r="26" ht="15.75" customHeight="1">
      <c r="A26" s="46" t="s">
        <v>287</v>
      </c>
      <c r="E26" s="40" t="s">
        <v>184</v>
      </c>
      <c r="F26" s="55"/>
      <c r="G26" s="40" t="s">
        <v>270</v>
      </c>
      <c r="H26" s="55"/>
    </row>
    <row r="27" ht="15.75" customHeight="1">
      <c r="A27" s="42" t="s">
        <v>279</v>
      </c>
    </row>
    <row r="28" ht="15.75" customHeight="1">
      <c r="A28" s="57" t="s">
        <v>196</v>
      </c>
      <c r="B28" s="25"/>
      <c r="C28" s="26"/>
      <c r="D28" s="26"/>
      <c r="E28" s="26"/>
      <c r="F28" s="26"/>
      <c r="G28" s="26"/>
      <c r="H28" s="27"/>
    </row>
    <row r="29" ht="15.75" customHeight="1">
      <c r="A29" s="57" t="s">
        <v>196</v>
      </c>
      <c r="B29" s="25"/>
      <c r="C29" s="26"/>
      <c r="D29" s="26"/>
      <c r="E29" s="26"/>
      <c r="F29" s="26"/>
      <c r="G29" s="26"/>
      <c r="H29" s="27"/>
    </row>
    <row r="30" ht="15.75" customHeight="1">
      <c r="A30" s="57" t="s">
        <v>196</v>
      </c>
      <c r="B30" s="25"/>
      <c r="C30" s="26"/>
      <c r="D30" s="26"/>
      <c r="E30" s="26"/>
      <c r="F30" s="26"/>
      <c r="G30" s="26"/>
      <c r="H30" s="27"/>
    </row>
    <row r="31" ht="15.75" customHeight="1">
      <c r="A31" s="57" t="s">
        <v>271</v>
      </c>
      <c r="B31" s="25"/>
      <c r="C31" s="26"/>
      <c r="D31" s="26"/>
      <c r="E31" s="26"/>
      <c r="F31" s="26"/>
      <c r="G31" s="26"/>
      <c r="H31" s="27"/>
    </row>
    <row r="32" ht="15.75" customHeight="1">
      <c r="A32" s="48" t="s">
        <v>273</v>
      </c>
      <c r="B32" s="26"/>
      <c r="C32" s="26"/>
      <c r="D32" s="26"/>
      <c r="E32" s="26"/>
      <c r="F32" s="26"/>
      <c r="G32" s="26"/>
      <c r="H32" s="27"/>
    </row>
    <row r="33" ht="15.75" customHeight="1">
      <c r="A33" s="66"/>
      <c r="B33" s="50"/>
      <c r="C33" s="50"/>
      <c r="D33" s="50"/>
      <c r="E33" s="50"/>
      <c r="F33" s="50"/>
      <c r="G33" s="50"/>
      <c r="H33" s="51"/>
    </row>
    <row r="34" ht="15.75" customHeight="1">
      <c r="A34" s="63"/>
      <c r="H34" s="64"/>
    </row>
    <row r="35" ht="15.75" customHeight="1">
      <c r="A35" s="52"/>
      <c r="B35" s="53"/>
      <c r="C35" s="53"/>
      <c r="D35" s="53"/>
      <c r="E35" s="53"/>
      <c r="F35" s="53"/>
      <c r="G35" s="53"/>
      <c r="H35" s="54"/>
    </row>
    <row r="36" ht="15.75" customHeight="1">
      <c r="A36" s="48" t="s">
        <v>275</v>
      </c>
      <c r="B36" s="26"/>
      <c r="C36" s="26"/>
      <c r="D36" s="26"/>
      <c r="E36" s="26"/>
      <c r="F36" s="26"/>
      <c r="G36" s="26"/>
      <c r="H36" s="27"/>
    </row>
    <row r="37" ht="15.75" customHeight="1">
      <c r="A37" s="66"/>
      <c r="B37" s="50"/>
      <c r="C37" s="50"/>
      <c r="D37" s="50"/>
      <c r="E37" s="50"/>
      <c r="F37" s="50"/>
      <c r="G37" s="50"/>
      <c r="H37" s="51"/>
    </row>
    <row r="38" ht="15.75" customHeight="1">
      <c r="A38" s="63"/>
      <c r="H38" s="64"/>
    </row>
    <row r="39" ht="15.75" customHeight="1">
      <c r="A39" s="63"/>
      <c r="H39" s="64"/>
    </row>
    <row r="40" ht="15.75" customHeight="1">
      <c r="A40" s="52"/>
      <c r="B40" s="53"/>
      <c r="C40" s="53"/>
      <c r="D40" s="53"/>
      <c r="E40" s="53"/>
      <c r="F40" s="53"/>
      <c r="G40" s="53"/>
      <c r="H40" s="54"/>
    </row>
    <row r="41" ht="15.75" customHeight="1"/>
    <row r="42" ht="15.75" customHeight="1"/>
    <row r="43" ht="15.75" customHeight="1">
      <c r="A43" s="46" t="s">
        <v>288</v>
      </c>
      <c r="E43" s="40" t="s">
        <v>184</v>
      </c>
      <c r="F43" s="55"/>
      <c r="G43" s="40" t="s">
        <v>270</v>
      </c>
      <c r="H43" s="55"/>
    </row>
    <row r="44" ht="15.75" customHeight="1">
      <c r="A44" s="42" t="s">
        <v>279</v>
      </c>
    </row>
    <row r="45" ht="15.75" customHeight="1">
      <c r="A45" s="57" t="s">
        <v>196</v>
      </c>
      <c r="B45" s="25"/>
      <c r="C45" s="26"/>
      <c r="D45" s="26"/>
      <c r="E45" s="26"/>
      <c r="F45" s="26"/>
      <c r="G45" s="26"/>
      <c r="H45" s="27"/>
    </row>
    <row r="46" ht="15.75" customHeight="1">
      <c r="A46" s="57" t="s">
        <v>196</v>
      </c>
      <c r="B46" s="25"/>
      <c r="C46" s="26"/>
      <c r="D46" s="26"/>
      <c r="E46" s="26"/>
      <c r="F46" s="26"/>
      <c r="G46" s="26"/>
      <c r="H46" s="27"/>
    </row>
    <row r="47" ht="15.75" customHeight="1">
      <c r="A47" s="57" t="s">
        <v>196</v>
      </c>
      <c r="B47" s="25"/>
      <c r="C47" s="26"/>
      <c r="D47" s="26"/>
      <c r="E47" s="26"/>
      <c r="F47" s="26"/>
      <c r="G47" s="26"/>
      <c r="H47" s="27"/>
    </row>
    <row r="48" ht="15.75" customHeight="1">
      <c r="A48" s="57" t="s">
        <v>271</v>
      </c>
      <c r="B48" s="25"/>
      <c r="C48" s="26"/>
      <c r="D48" s="26"/>
      <c r="E48" s="26"/>
      <c r="F48" s="26"/>
      <c r="G48" s="26"/>
      <c r="H48" s="27"/>
    </row>
    <row r="49" ht="15.75" customHeight="1">
      <c r="A49" s="48" t="s">
        <v>273</v>
      </c>
      <c r="B49" s="26"/>
      <c r="C49" s="26"/>
      <c r="D49" s="26"/>
      <c r="E49" s="26"/>
      <c r="F49" s="26"/>
      <c r="G49" s="26"/>
      <c r="H49" s="27"/>
    </row>
    <row r="50" ht="15.75" customHeight="1">
      <c r="A50" s="66"/>
      <c r="B50" s="50"/>
      <c r="C50" s="50"/>
      <c r="D50" s="50"/>
      <c r="E50" s="50"/>
      <c r="F50" s="50"/>
      <c r="G50" s="50"/>
      <c r="H50" s="51"/>
    </row>
    <row r="51" ht="15.75" customHeight="1">
      <c r="A51" s="63"/>
      <c r="H51" s="64"/>
    </row>
    <row r="52" ht="15.75" customHeight="1">
      <c r="A52" s="52"/>
      <c r="B52" s="53"/>
      <c r="C52" s="53"/>
      <c r="D52" s="53"/>
      <c r="E52" s="53"/>
      <c r="F52" s="53"/>
      <c r="G52" s="53"/>
      <c r="H52" s="54"/>
    </row>
    <row r="53" ht="15.75" customHeight="1">
      <c r="A53" s="48" t="s">
        <v>275</v>
      </c>
      <c r="B53" s="26"/>
      <c r="C53" s="26"/>
      <c r="D53" s="26"/>
      <c r="E53" s="26"/>
      <c r="F53" s="26"/>
      <c r="G53" s="26"/>
      <c r="H53" s="27"/>
    </row>
    <row r="54" ht="15.75" customHeight="1">
      <c r="A54" s="66"/>
      <c r="B54" s="50"/>
      <c r="C54" s="50"/>
      <c r="D54" s="50"/>
      <c r="E54" s="50"/>
      <c r="F54" s="50"/>
      <c r="G54" s="50"/>
      <c r="H54" s="51"/>
    </row>
    <row r="55" ht="15.75" customHeight="1">
      <c r="A55" s="63"/>
      <c r="H55" s="64"/>
    </row>
    <row r="56" ht="15.75" customHeight="1">
      <c r="A56" s="63"/>
      <c r="H56" s="64"/>
    </row>
    <row r="57" ht="15.75" customHeight="1">
      <c r="A57" s="52"/>
      <c r="B57" s="53"/>
      <c r="C57" s="53"/>
      <c r="D57" s="53"/>
      <c r="E57" s="53"/>
      <c r="F57" s="53"/>
      <c r="G57" s="53"/>
      <c r="H57" s="54"/>
    </row>
    <row r="58" ht="15.75" customHeight="1"/>
    <row r="59" ht="15.75" customHeight="1"/>
    <row r="60" ht="15.75" customHeight="1">
      <c r="A60" s="46" t="s">
        <v>289</v>
      </c>
      <c r="E60" s="40" t="s">
        <v>184</v>
      </c>
      <c r="F60" s="55"/>
      <c r="G60" s="40" t="s">
        <v>270</v>
      </c>
      <c r="H60" s="55"/>
    </row>
    <row r="61" ht="15.75" customHeight="1">
      <c r="A61" s="42" t="s">
        <v>279</v>
      </c>
    </row>
    <row r="62" ht="15.75" customHeight="1">
      <c r="A62" s="57" t="s">
        <v>196</v>
      </c>
      <c r="B62" s="25"/>
      <c r="C62" s="26"/>
      <c r="D62" s="26"/>
      <c r="E62" s="26"/>
      <c r="F62" s="26"/>
      <c r="G62" s="26"/>
      <c r="H62" s="27"/>
    </row>
    <row r="63" ht="15.75" customHeight="1">
      <c r="A63" s="57" t="s">
        <v>196</v>
      </c>
      <c r="B63" s="25"/>
      <c r="C63" s="26"/>
      <c r="D63" s="26"/>
      <c r="E63" s="26"/>
      <c r="F63" s="26"/>
      <c r="G63" s="26"/>
      <c r="H63" s="27"/>
    </row>
    <row r="64" ht="15.75" customHeight="1">
      <c r="A64" s="57" t="s">
        <v>196</v>
      </c>
      <c r="B64" s="25"/>
      <c r="C64" s="26"/>
      <c r="D64" s="26"/>
      <c r="E64" s="26"/>
      <c r="F64" s="26"/>
      <c r="G64" s="26"/>
      <c r="H64" s="27"/>
    </row>
    <row r="65" ht="15.75" customHeight="1">
      <c r="A65" s="57" t="s">
        <v>271</v>
      </c>
      <c r="B65" s="25"/>
      <c r="C65" s="26"/>
      <c r="D65" s="26"/>
      <c r="E65" s="26"/>
      <c r="F65" s="26"/>
      <c r="G65" s="26"/>
      <c r="H65" s="27"/>
    </row>
    <row r="66" ht="15.75" customHeight="1">
      <c r="A66" s="48" t="s">
        <v>273</v>
      </c>
      <c r="B66" s="26"/>
      <c r="C66" s="26"/>
      <c r="D66" s="26"/>
      <c r="E66" s="26"/>
      <c r="F66" s="26"/>
      <c r="G66" s="26"/>
      <c r="H66" s="27"/>
    </row>
    <row r="67" ht="15.75" customHeight="1">
      <c r="A67" s="66"/>
      <c r="B67" s="50"/>
      <c r="C67" s="50"/>
      <c r="D67" s="50"/>
      <c r="E67" s="50"/>
      <c r="F67" s="50"/>
      <c r="G67" s="50"/>
      <c r="H67" s="51"/>
    </row>
    <row r="68" ht="15.75" customHeight="1">
      <c r="A68" s="63"/>
      <c r="H68" s="64"/>
    </row>
    <row r="69" ht="15.75" customHeight="1">
      <c r="A69" s="52"/>
      <c r="B69" s="53"/>
      <c r="C69" s="53"/>
      <c r="D69" s="53"/>
      <c r="E69" s="53"/>
      <c r="F69" s="53"/>
      <c r="G69" s="53"/>
      <c r="H69" s="54"/>
    </row>
    <row r="70" ht="15.75" customHeight="1">
      <c r="A70" s="48" t="s">
        <v>275</v>
      </c>
      <c r="B70" s="26"/>
      <c r="C70" s="26"/>
      <c r="D70" s="26"/>
      <c r="E70" s="26"/>
      <c r="F70" s="26"/>
      <c r="G70" s="26"/>
      <c r="H70" s="27"/>
    </row>
    <row r="71" ht="15.75" customHeight="1">
      <c r="A71" s="66"/>
      <c r="B71" s="50"/>
      <c r="C71" s="50"/>
      <c r="D71" s="50"/>
      <c r="E71" s="50"/>
      <c r="F71" s="50"/>
      <c r="G71" s="50"/>
      <c r="H71" s="51"/>
    </row>
    <row r="72" ht="15.75" customHeight="1">
      <c r="A72" s="63"/>
      <c r="H72" s="64"/>
    </row>
    <row r="73" ht="15.75" customHeight="1">
      <c r="A73" s="63"/>
      <c r="H73" s="64"/>
    </row>
    <row r="74" ht="15.75" customHeight="1">
      <c r="A74" s="52"/>
      <c r="B74" s="53"/>
      <c r="C74" s="53"/>
      <c r="D74" s="53"/>
      <c r="E74" s="53"/>
      <c r="F74" s="53"/>
      <c r="G74" s="53"/>
      <c r="H74" s="54"/>
    </row>
    <row r="75" ht="15.75" customHeight="1"/>
    <row r="76" ht="15.75" customHeight="1"/>
    <row r="77" ht="15.75" customHeight="1">
      <c r="A77" s="46" t="s">
        <v>290</v>
      </c>
      <c r="E77" s="40" t="s">
        <v>184</v>
      </c>
      <c r="F77" s="55"/>
      <c r="G77" s="40" t="s">
        <v>270</v>
      </c>
      <c r="H77" s="55"/>
    </row>
    <row r="78" ht="15.75" customHeight="1">
      <c r="A78" s="42" t="s">
        <v>279</v>
      </c>
    </row>
    <row r="79" ht="15.75" customHeight="1">
      <c r="A79" s="57" t="s">
        <v>196</v>
      </c>
      <c r="B79" s="25"/>
      <c r="C79" s="26"/>
      <c r="D79" s="26"/>
      <c r="E79" s="26"/>
      <c r="F79" s="26"/>
      <c r="G79" s="26"/>
      <c r="H79" s="27"/>
    </row>
    <row r="80" ht="15.75" customHeight="1">
      <c r="A80" s="57" t="s">
        <v>196</v>
      </c>
      <c r="B80" s="25"/>
      <c r="C80" s="26"/>
      <c r="D80" s="26"/>
      <c r="E80" s="26"/>
      <c r="F80" s="26"/>
      <c r="G80" s="26"/>
      <c r="H80" s="27"/>
    </row>
    <row r="81" ht="15.75" customHeight="1">
      <c r="A81" s="57" t="s">
        <v>196</v>
      </c>
      <c r="B81" s="25"/>
      <c r="C81" s="26"/>
      <c r="D81" s="26"/>
      <c r="E81" s="26"/>
      <c r="F81" s="26"/>
      <c r="G81" s="26"/>
      <c r="H81" s="27"/>
    </row>
    <row r="82" ht="15.75" customHeight="1">
      <c r="A82" s="57" t="s">
        <v>271</v>
      </c>
      <c r="B82" s="25"/>
      <c r="C82" s="26"/>
      <c r="D82" s="26"/>
      <c r="E82" s="26"/>
      <c r="F82" s="26"/>
      <c r="G82" s="26"/>
      <c r="H82" s="27"/>
    </row>
    <row r="83" ht="15.75" customHeight="1">
      <c r="A83" s="48" t="s">
        <v>273</v>
      </c>
      <c r="B83" s="26"/>
      <c r="C83" s="26"/>
      <c r="D83" s="26"/>
      <c r="E83" s="26"/>
      <c r="F83" s="26"/>
      <c r="G83" s="26"/>
      <c r="H83" s="27"/>
    </row>
    <row r="84" ht="15.75" customHeight="1">
      <c r="A84" s="66"/>
      <c r="B84" s="50"/>
      <c r="C84" s="50"/>
      <c r="D84" s="50"/>
      <c r="E84" s="50"/>
      <c r="F84" s="50"/>
      <c r="G84" s="50"/>
      <c r="H84" s="51"/>
    </row>
    <row r="85" ht="15.75" customHeight="1">
      <c r="A85" s="63"/>
      <c r="H85" s="64"/>
    </row>
    <row r="86" ht="15.75" customHeight="1">
      <c r="A86" s="52"/>
      <c r="B86" s="53"/>
      <c r="C86" s="53"/>
      <c r="D86" s="53"/>
      <c r="E86" s="53"/>
      <c r="F86" s="53"/>
      <c r="G86" s="53"/>
      <c r="H86" s="54"/>
    </row>
    <row r="87" ht="15.75" customHeight="1">
      <c r="A87" s="48" t="s">
        <v>275</v>
      </c>
      <c r="B87" s="26"/>
      <c r="C87" s="26"/>
      <c r="D87" s="26"/>
      <c r="E87" s="26"/>
      <c r="F87" s="26"/>
      <c r="G87" s="26"/>
      <c r="H87" s="27"/>
    </row>
    <row r="88" ht="15.75" customHeight="1">
      <c r="A88" s="66"/>
      <c r="B88" s="50"/>
      <c r="C88" s="50"/>
      <c r="D88" s="50"/>
      <c r="E88" s="50"/>
      <c r="F88" s="50"/>
      <c r="G88" s="50"/>
      <c r="H88" s="51"/>
    </row>
    <row r="89" ht="15.75" customHeight="1">
      <c r="A89" s="63"/>
      <c r="H89" s="64"/>
    </row>
    <row r="90" ht="15.75" customHeight="1">
      <c r="A90" s="63"/>
      <c r="H90" s="64"/>
    </row>
    <row r="91" ht="15.75" customHeight="1">
      <c r="A91" s="52"/>
      <c r="B91" s="53"/>
      <c r="C91" s="53"/>
      <c r="D91" s="53"/>
      <c r="E91" s="53"/>
      <c r="F91" s="53"/>
      <c r="G91" s="53"/>
      <c r="H91" s="54"/>
    </row>
    <row r="92" ht="15.75" customHeight="1"/>
    <row r="93" ht="15.75" customHeight="1"/>
    <row r="94" ht="15.75" customHeight="1">
      <c r="A94" s="46" t="s">
        <v>291</v>
      </c>
      <c r="E94" s="40" t="s">
        <v>184</v>
      </c>
      <c r="F94" s="55"/>
      <c r="G94" s="40" t="s">
        <v>270</v>
      </c>
      <c r="H94" s="55"/>
    </row>
    <row r="95" ht="15.75" customHeight="1">
      <c r="A95" s="42" t="s">
        <v>279</v>
      </c>
    </row>
    <row r="96" ht="15.75" customHeight="1">
      <c r="A96" s="57" t="s">
        <v>196</v>
      </c>
      <c r="B96" s="25"/>
      <c r="C96" s="26"/>
      <c r="D96" s="26"/>
      <c r="E96" s="26"/>
      <c r="F96" s="26"/>
      <c r="G96" s="26"/>
      <c r="H96" s="27"/>
    </row>
    <row r="97" ht="15.75" customHeight="1">
      <c r="A97" s="57" t="s">
        <v>196</v>
      </c>
      <c r="B97" s="25"/>
      <c r="C97" s="26"/>
      <c r="D97" s="26"/>
      <c r="E97" s="26"/>
      <c r="F97" s="26"/>
      <c r="G97" s="26"/>
      <c r="H97" s="27"/>
    </row>
    <row r="98" ht="15.75" customHeight="1">
      <c r="A98" s="57" t="s">
        <v>196</v>
      </c>
      <c r="B98" s="25"/>
      <c r="C98" s="26"/>
      <c r="D98" s="26"/>
      <c r="E98" s="26"/>
      <c r="F98" s="26"/>
      <c r="G98" s="26"/>
      <c r="H98" s="27"/>
    </row>
    <row r="99" ht="15.75" customHeight="1">
      <c r="A99" s="57" t="s">
        <v>271</v>
      </c>
      <c r="B99" s="25"/>
      <c r="C99" s="26"/>
      <c r="D99" s="26"/>
      <c r="E99" s="26"/>
      <c r="F99" s="26"/>
      <c r="G99" s="26"/>
      <c r="H99" s="27"/>
    </row>
    <row r="100" ht="15.75" customHeight="1">
      <c r="A100" s="48" t="s">
        <v>273</v>
      </c>
      <c r="B100" s="26"/>
      <c r="C100" s="26"/>
      <c r="D100" s="26"/>
      <c r="E100" s="26"/>
      <c r="F100" s="26"/>
      <c r="G100" s="26"/>
      <c r="H100" s="27"/>
    </row>
    <row r="101" ht="15.75" customHeight="1">
      <c r="A101" s="66"/>
      <c r="B101" s="50"/>
      <c r="C101" s="50"/>
      <c r="D101" s="50"/>
      <c r="E101" s="50"/>
      <c r="F101" s="50"/>
      <c r="G101" s="50"/>
      <c r="H101" s="51"/>
    </row>
    <row r="102" ht="15.75" customHeight="1">
      <c r="A102" s="63"/>
      <c r="H102" s="64"/>
    </row>
    <row r="103" ht="15.75" customHeight="1">
      <c r="A103" s="52"/>
      <c r="B103" s="53"/>
      <c r="C103" s="53"/>
      <c r="D103" s="53"/>
      <c r="E103" s="53"/>
      <c r="F103" s="53"/>
      <c r="G103" s="53"/>
      <c r="H103" s="54"/>
    </row>
    <row r="104" ht="15.75" customHeight="1">
      <c r="A104" s="48" t="s">
        <v>275</v>
      </c>
      <c r="B104" s="26"/>
      <c r="C104" s="26"/>
      <c r="D104" s="26"/>
      <c r="E104" s="26"/>
      <c r="F104" s="26"/>
      <c r="G104" s="26"/>
      <c r="H104" s="27"/>
    </row>
    <row r="105" ht="15.75" customHeight="1">
      <c r="A105" s="66"/>
      <c r="B105" s="50"/>
      <c r="C105" s="50"/>
      <c r="D105" s="50"/>
      <c r="E105" s="50"/>
      <c r="F105" s="50"/>
      <c r="G105" s="50"/>
      <c r="H105" s="51"/>
    </row>
    <row r="106" ht="15.75" customHeight="1">
      <c r="A106" s="63"/>
      <c r="H106" s="64"/>
    </row>
    <row r="107" ht="15.75" customHeight="1">
      <c r="A107" s="63"/>
      <c r="H107" s="64"/>
    </row>
    <row r="108" ht="15.75" customHeight="1">
      <c r="A108" s="52"/>
      <c r="B108" s="53"/>
      <c r="C108" s="53"/>
      <c r="D108" s="53"/>
      <c r="E108" s="53"/>
      <c r="F108" s="53"/>
      <c r="G108" s="53"/>
      <c r="H108" s="54"/>
    </row>
    <row r="109" ht="15.75" customHeight="1"/>
    <row r="110" ht="15.75" customHeight="1"/>
    <row r="111" ht="15.75" customHeight="1">
      <c r="A111" s="46" t="s">
        <v>292</v>
      </c>
      <c r="E111" s="40" t="s">
        <v>184</v>
      </c>
      <c r="F111" s="55"/>
      <c r="G111" s="40" t="s">
        <v>270</v>
      </c>
      <c r="H111" s="55"/>
    </row>
    <row r="112" ht="15.75" customHeight="1">
      <c r="A112" s="42" t="s">
        <v>279</v>
      </c>
    </row>
    <row r="113" ht="15.75" customHeight="1">
      <c r="A113" s="57" t="s">
        <v>196</v>
      </c>
      <c r="B113" s="25"/>
      <c r="C113" s="26"/>
      <c r="D113" s="26"/>
      <c r="E113" s="26"/>
      <c r="F113" s="26"/>
      <c r="G113" s="26"/>
      <c r="H113" s="27"/>
    </row>
    <row r="114" ht="15.75" customHeight="1">
      <c r="A114" s="57" t="s">
        <v>196</v>
      </c>
      <c r="B114" s="25"/>
      <c r="C114" s="26"/>
      <c r="D114" s="26"/>
      <c r="E114" s="26"/>
      <c r="F114" s="26"/>
      <c r="G114" s="26"/>
      <c r="H114" s="27"/>
    </row>
    <row r="115" ht="15.75" customHeight="1">
      <c r="A115" s="57" t="s">
        <v>196</v>
      </c>
      <c r="B115" s="25"/>
      <c r="C115" s="26"/>
      <c r="D115" s="26"/>
      <c r="E115" s="26"/>
      <c r="F115" s="26"/>
      <c r="G115" s="26"/>
      <c r="H115" s="27"/>
    </row>
    <row r="116" ht="15.75" customHeight="1">
      <c r="A116" s="57" t="s">
        <v>271</v>
      </c>
      <c r="B116" s="25"/>
      <c r="C116" s="26"/>
      <c r="D116" s="26"/>
      <c r="E116" s="26"/>
      <c r="F116" s="26"/>
      <c r="G116" s="26"/>
      <c r="H116" s="27"/>
    </row>
    <row r="117" ht="15.75" customHeight="1">
      <c r="A117" s="48" t="s">
        <v>273</v>
      </c>
      <c r="B117" s="26"/>
      <c r="C117" s="26"/>
      <c r="D117" s="26"/>
      <c r="E117" s="26"/>
      <c r="F117" s="26"/>
      <c r="G117" s="26"/>
      <c r="H117" s="27"/>
    </row>
    <row r="118" ht="15.75" customHeight="1">
      <c r="A118" s="66"/>
      <c r="B118" s="50"/>
      <c r="C118" s="50"/>
      <c r="D118" s="50"/>
      <c r="E118" s="50"/>
      <c r="F118" s="50"/>
      <c r="G118" s="50"/>
      <c r="H118" s="51"/>
    </row>
    <row r="119" ht="15.75" customHeight="1">
      <c r="A119" s="63"/>
      <c r="H119" s="64"/>
    </row>
    <row r="120" ht="15.75" customHeight="1">
      <c r="A120" s="52"/>
      <c r="B120" s="53"/>
      <c r="C120" s="53"/>
      <c r="D120" s="53"/>
      <c r="E120" s="53"/>
      <c r="F120" s="53"/>
      <c r="G120" s="53"/>
      <c r="H120" s="54"/>
    </row>
    <row r="121" ht="15.75" customHeight="1">
      <c r="A121" s="48" t="s">
        <v>275</v>
      </c>
      <c r="B121" s="26"/>
      <c r="C121" s="26"/>
      <c r="D121" s="26"/>
      <c r="E121" s="26"/>
      <c r="F121" s="26"/>
      <c r="G121" s="26"/>
      <c r="H121" s="27"/>
    </row>
    <row r="122" ht="15.75" customHeight="1">
      <c r="A122" s="66"/>
      <c r="B122" s="50"/>
      <c r="C122" s="50"/>
      <c r="D122" s="50"/>
      <c r="E122" s="50"/>
      <c r="F122" s="50"/>
      <c r="G122" s="50"/>
      <c r="H122" s="51"/>
    </row>
    <row r="123" ht="15.75" customHeight="1">
      <c r="A123" s="63"/>
      <c r="H123" s="64"/>
    </row>
    <row r="124" ht="15.75" customHeight="1">
      <c r="A124" s="63"/>
      <c r="H124" s="64"/>
    </row>
    <row r="125" ht="15.75" customHeight="1">
      <c r="A125" s="52"/>
      <c r="B125" s="53"/>
      <c r="C125" s="53"/>
      <c r="D125" s="53"/>
      <c r="E125" s="53"/>
      <c r="F125" s="53"/>
      <c r="G125" s="53"/>
      <c r="H125" s="5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4" t="s">
        <v>293</v>
      </c>
    </row>
    <row r="3" ht="15.75" customHeight="1"/>
    <row r="4" ht="15.75" customHeight="1">
      <c r="B4" s="24" t="s">
        <v>1</v>
      </c>
      <c r="C4" s="25" t="str">
        <f>'Diseño'!C4</f>
        <v>787 - Sistemas Organizacionales y Gerenciales 2</v>
      </c>
      <c r="D4" s="26"/>
      <c r="E4" s="26"/>
      <c r="F4" s="26"/>
      <c r="G4" s="27"/>
    </row>
    <row r="5" ht="15.75" customHeight="1">
      <c r="B5" s="45" t="s">
        <v>142</v>
      </c>
      <c r="C5" s="25">
        <f>H9+H26+H43+H60+H77+H94+H111</f>
        <v>9</v>
      </c>
      <c r="D5" s="26"/>
      <c r="E5" s="26"/>
      <c r="F5" s="26"/>
      <c r="G5" s="27"/>
    </row>
    <row r="6" ht="15.75" customHeight="1">
      <c r="B6" s="45" t="s">
        <v>184</v>
      </c>
      <c r="C6" s="25">
        <f>F9+F26+F43+F60+F77+F94+F111</f>
        <v>20</v>
      </c>
      <c r="D6" s="26"/>
      <c r="E6" s="26"/>
      <c r="F6" s="26"/>
      <c r="G6" s="27"/>
    </row>
    <row r="7" ht="15.75" customHeight="1">
      <c r="B7" s="6" t="s">
        <v>294</v>
      </c>
    </row>
    <row r="8" ht="15.75" customHeight="1"/>
    <row r="9" ht="15.75" customHeight="1">
      <c r="A9" s="46" t="s">
        <v>295</v>
      </c>
      <c r="E9" s="40" t="s">
        <v>184</v>
      </c>
      <c r="F9" s="47">
        <v>5.0</v>
      </c>
      <c r="G9" s="40" t="s">
        <v>270</v>
      </c>
      <c r="H9" s="47">
        <v>2.0</v>
      </c>
    </row>
    <row r="10" ht="15.75" customHeight="1">
      <c r="A10" s="6" t="s">
        <v>283</v>
      </c>
    </row>
    <row r="11" ht="15.75" customHeight="1">
      <c r="A11" s="57" t="s">
        <v>196</v>
      </c>
      <c r="B11" s="37" t="s">
        <v>47</v>
      </c>
      <c r="C11" s="26"/>
      <c r="D11" s="26"/>
      <c r="E11" s="26"/>
      <c r="F11" s="26"/>
      <c r="G11" s="26"/>
      <c r="H11" s="27"/>
    </row>
    <row r="12" ht="15.75" customHeight="1">
      <c r="A12" s="57" t="s">
        <v>196</v>
      </c>
      <c r="B12" s="37" t="s">
        <v>241</v>
      </c>
      <c r="C12" s="26"/>
      <c r="D12" s="26"/>
      <c r="E12" s="26"/>
      <c r="F12" s="26"/>
      <c r="G12" s="26"/>
      <c r="H12" s="27"/>
    </row>
    <row r="13" ht="15.75" customHeight="1">
      <c r="A13" s="57" t="s">
        <v>196</v>
      </c>
      <c r="B13" s="25"/>
      <c r="C13" s="26"/>
      <c r="D13" s="26"/>
      <c r="E13" s="26"/>
      <c r="F13" s="26"/>
      <c r="G13" s="26"/>
      <c r="H13" s="27"/>
    </row>
    <row r="14" ht="15.75" customHeight="1">
      <c r="A14" s="57" t="s">
        <v>271</v>
      </c>
      <c r="B14" s="25"/>
      <c r="C14" s="26"/>
      <c r="D14" s="26"/>
      <c r="E14" s="26"/>
      <c r="F14" s="26"/>
      <c r="G14" s="26"/>
      <c r="H14" s="27"/>
    </row>
    <row r="15" ht="15.75" customHeight="1">
      <c r="A15" s="48" t="s">
        <v>273</v>
      </c>
      <c r="B15" s="26"/>
      <c r="C15" s="26"/>
      <c r="D15" s="26"/>
      <c r="E15" s="26"/>
      <c r="F15" s="26"/>
      <c r="G15" s="26"/>
      <c r="H15" s="27"/>
    </row>
    <row r="16" ht="15.75" customHeight="1">
      <c r="A16" s="49" t="s">
        <v>296</v>
      </c>
      <c r="B16" s="50"/>
      <c r="C16" s="50"/>
      <c r="D16" s="50"/>
      <c r="E16" s="50"/>
      <c r="F16" s="50"/>
      <c r="G16" s="50"/>
      <c r="H16" s="51"/>
    </row>
    <row r="17" ht="15.75" customHeight="1">
      <c r="A17" s="63"/>
      <c r="H17" s="64"/>
    </row>
    <row r="18" ht="15.75" customHeight="1">
      <c r="A18" s="52"/>
      <c r="B18" s="53"/>
      <c r="C18" s="53"/>
      <c r="D18" s="53"/>
      <c r="E18" s="53"/>
      <c r="F18" s="53"/>
      <c r="G18" s="53"/>
      <c r="H18" s="54"/>
    </row>
    <row r="19" ht="15.75" customHeight="1">
      <c r="A19" s="48" t="s">
        <v>275</v>
      </c>
      <c r="B19" s="26"/>
      <c r="C19" s="26"/>
      <c r="D19" s="26"/>
      <c r="E19" s="26"/>
      <c r="F19" s="26"/>
      <c r="G19" s="26"/>
      <c r="H19" s="27"/>
    </row>
    <row r="20" ht="15.75" customHeight="1">
      <c r="A20" s="49" t="s">
        <v>297</v>
      </c>
      <c r="B20" s="50"/>
      <c r="C20" s="50"/>
      <c r="D20" s="50"/>
      <c r="E20" s="50"/>
      <c r="F20" s="50"/>
      <c r="G20" s="50"/>
      <c r="H20" s="51"/>
    </row>
    <row r="21" ht="15.75" customHeight="1">
      <c r="A21" s="63"/>
      <c r="H21" s="64"/>
    </row>
    <row r="22" ht="15.75" customHeight="1">
      <c r="A22" s="63"/>
      <c r="H22" s="64"/>
    </row>
    <row r="23" ht="15.75" customHeight="1">
      <c r="A23" s="52"/>
      <c r="B23" s="53"/>
      <c r="C23" s="53"/>
      <c r="D23" s="53"/>
      <c r="E23" s="53"/>
      <c r="F23" s="53"/>
      <c r="G23" s="53"/>
      <c r="H23" s="54"/>
    </row>
    <row r="24" ht="15.75" customHeight="1"/>
    <row r="25" ht="15.75" customHeight="1"/>
    <row r="26" ht="15.75" customHeight="1">
      <c r="A26" s="46" t="s">
        <v>298</v>
      </c>
      <c r="E26" s="40" t="s">
        <v>184</v>
      </c>
      <c r="F26" s="47">
        <v>5.0</v>
      </c>
      <c r="G26" s="40" t="s">
        <v>270</v>
      </c>
      <c r="H26" s="47">
        <v>3.0</v>
      </c>
    </row>
    <row r="27" ht="15.75" customHeight="1">
      <c r="A27" s="6" t="s">
        <v>283</v>
      </c>
    </row>
    <row r="28" ht="15.75" customHeight="1">
      <c r="A28" s="57" t="s">
        <v>196</v>
      </c>
      <c r="B28" s="37" t="s">
        <v>47</v>
      </c>
      <c r="C28" s="26"/>
      <c r="D28" s="26"/>
      <c r="E28" s="26"/>
      <c r="F28" s="26"/>
      <c r="G28" s="26"/>
      <c r="H28" s="27"/>
    </row>
    <row r="29" ht="15.75" customHeight="1">
      <c r="A29" s="57" t="s">
        <v>196</v>
      </c>
      <c r="B29" s="37" t="s">
        <v>241</v>
      </c>
      <c r="C29" s="26"/>
      <c r="D29" s="26"/>
      <c r="E29" s="26"/>
      <c r="F29" s="26"/>
      <c r="G29" s="26"/>
      <c r="H29" s="27"/>
    </row>
    <row r="30" ht="15.75" customHeight="1">
      <c r="A30" s="57" t="s">
        <v>196</v>
      </c>
      <c r="B30" s="25"/>
      <c r="C30" s="26"/>
      <c r="D30" s="26"/>
      <c r="E30" s="26"/>
      <c r="F30" s="26"/>
      <c r="G30" s="26"/>
      <c r="H30" s="27"/>
    </row>
    <row r="31" ht="15.75" customHeight="1">
      <c r="A31" s="57" t="s">
        <v>271</v>
      </c>
      <c r="B31" s="25"/>
      <c r="C31" s="26"/>
      <c r="D31" s="26"/>
      <c r="E31" s="26"/>
      <c r="F31" s="26"/>
      <c r="G31" s="26"/>
      <c r="H31" s="27"/>
    </row>
    <row r="32" ht="15.75" customHeight="1">
      <c r="A32" s="48" t="s">
        <v>273</v>
      </c>
      <c r="B32" s="26"/>
      <c r="C32" s="26"/>
      <c r="D32" s="26"/>
      <c r="E32" s="26"/>
      <c r="F32" s="26"/>
      <c r="G32" s="26"/>
      <c r="H32" s="27"/>
    </row>
    <row r="33" ht="15.75" customHeight="1">
      <c r="A33" s="49" t="s">
        <v>299</v>
      </c>
      <c r="B33" s="50"/>
      <c r="C33" s="50"/>
      <c r="D33" s="50"/>
      <c r="E33" s="50"/>
      <c r="F33" s="50"/>
      <c r="G33" s="50"/>
      <c r="H33" s="51"/>
    </row>
    <row r="34" ht="15.75" customHeight="1">
      <c r="A34" s="63"/>
      <c r="H34" s="64"/>
    </row>
    <row r="35" ht="15.75" customHeight="1">
      <c r="A35" s="52"/>
      <c r="B35" s="53"/>
      <c r="C35" s="53"/>
      <c r="D35" s="53"/>
      <c r="E35" s="53"/>
      <c r="F35" s="53"/>
      <c r="G35" s="53"/>
      <c r="H35" s="54"/>
    </row>
    <row r="36" ht="15.75" customHeight="1">
      <c r="A36" s="48" t="s">
        <v>275</v>
      </c>
      <c r="B36" s="26"/>
      <c r="C36" s="26"/>
      <c r="D36" s="26"/>
      <c r="E36" s="26"/>
      <c r="F36" s="26"/>
      <c r="G36" s="26"/>
      <c r="H36" s="27"/>
    </row>
    <row r="37" ht="15.75" customHeight="1">
      <c r="A37" s="49" t="s">
        <v>300</v>
      </c>
      <c r="B37" s="50"/>
      <c r="C37" s="50"/>
      <c r="D37" s="50"/>
      <c r="E37" s="50"/>
      <c r="F37" s="50"/>
      <c r="G37" s="50"/>
      <c r="H37" s="51"/>
    </row>
    <row r="38" ht="15.75" customHeight="1">
      <c r="A38" s="63"/>
      <c r="H38" s="64"/>
    </row>
    <row r="39" ht="15.75" customHeight="1">
      <c r="A39" s="63"/>
      <c r="H39" s="64"/>
    </row>
    <row r="40" ht="15.75" customHeight="1">
      <c r="A40" s="52"/>
      <c r="B40" s="53"/>
      <c r="C40" s="53"/>
      <c r="D40" s="53"/>
      <c r="E40" s="53"/>
      <c r="F40" s="53"/>
      <c r="G40" s="53"/>
      <c r="H40" s="54"/>
    </row>
    <row r="41" ht="15.75" customHeight="1"/>
    <row r="42" ht="15.75" customHeight="1"/>
    <row r="43" ht="15.75" customHeight="1">
      <c r="A43" s="46" t="s">
        <v>301</v>
      </c>
      <c r="E43" s="40" t="s">
        <v>184</v>
      </c>
      <c r="F43" s="47">
        <v>5.0</v>
      </c>
      <c r="G43" s="40" t="s">
        <v>270</v>
      </c>
      <c r="H43" s="47">
        <v>3.0</v>
      </c>
    </row>
    <row r="44" ht="15.75" customHeight="1">
      <c r="A44" s="42" t="s">
        <v>279</v>
      </c>
    </row>
    <row r="45" ht="15.75" customHeight="1">
      <c r="A45" s="57" t="s">
        <v>196</v>
      </c>
      <c r="B45" s="37" t="s">
        <v>234</v>
      </c>
      <c r="C45" s="26"/>
      <c r="D45" s="26"/>
      <c r="E45" s="26"/>
      <c r="F45" s="26"/>
      <c r="G45" s="26"/>
      <c r="H45" s="27"/>
    </row>
    <row r="46" ht="15.75" customHeight="1">
      <c r="A46" s="57" t="s">
        <v>196</v>
      </c>
      <c r="B46" s="37" t="s">
        <v>49</v>
      </c>
      <c r="C46" s="26"/>
      <c r="D46" s="26"/>
      <c r="E46" s="26"/>
      <c r="F46" s="26"/>
      <c r="G46" s="26"/>
      <c r="H46" s="27"/>
    </row>
    <row r="47" ht="15.75" customHeight="1">
      <c r="A47" s="57" t="s">
        <v>196</v>
      </c>
      <c r="B47" s="25"/>
      <c r="C47" s="26"/>
      <c r="D47" s="26"/>
      <c r="E47" s="26"/>
      <c r="F47" s="26"/>
      <c r="G47" s="26"/>
      <c r="H47" s="27"/>
    </row>
    <row r="48" ht="15.75" customHeight="1">
      <c r="A48" s="57" t="s">
        <v>271</v>
      </c>
      <c r="B48" s="25"/>
      <c r="C48" s="26"/>
      <c r="D48" s="26"/>
      <c r="E48" s="26"/>
      <c r="F48" s="26"/>
      <c r="G48" s="26"/>
      <c r="H48" s="27"/>
    </row>
    <row r="49" ht="15.75" customHeight="1">
      <c r="A49" s="48" t="s">
        <v>273</v>
      </c>
      <c r="B49" s="26"/>
      <c r="C49" s="26"/>
      <c r="D49" s="26"/>
      <c r="E49" s="26"/>
      <c r="F49" s="26"/>
      <c r="G49" s="26"/>
      <c r="H49" s="27"/>
    </row>
    <row r="50" ht="15.75" customHeight="1">
      <c r="A50" s="49" t="s">
        <v>302</v>
      </c>
      <c r="B50" s="50"/>
      <c r="C50" s="50"/>
      <c r="D50" s="50"/>
      <c r="E50" s="50"/>
      <c r="F50" s="50"/>
      <c r="G50" s="50"/>
      <c r="H50" s="51"/>
    </row>
    <row r="51" ht="15.75" customHeight="1">
      <c r="A51" s="63"/>
      <c r="H51" s="64"/>
    </row>
    <row r="52" ht="15.75" customHeight="1">
      <c r="A52" s="52"/>
      <c r="B52" s="53"/>
      <c r="C52" s="53"/>
      <c r="D52" s="53"/>
      <c r="E52" s="53"/>
      <c r="F52" s="53"/>
      <c r="G52" s="53"/>
      <c r="H52" s="54"/>
    </row>
    <row r="53" ht="15.75" customHeight="1">
      <c r="A53" s="48" t="s">
        <v>275</v>
      </c>
      <c r="B53" s="26"/>
      <c r="C53" s="26"/>
      <c r="D53" s="26"/>
      <c r="E53" s="26"/>
      <c r="F53" s="26"/>
      <c r="G53" s="26"/>
      <c r="H53" s="27"/>
    </row>
    <row r="54" ht="15.75" customHeight="1">
      <c r="A54" s="49" t="s">
        <v>303</v>
      </c>
      <c r="B54" s="50"/>
      <c r="C54" s="50"/>
      <c r="D54" s="50"/>
      <c r="E54" s="50"/>
      <c r="F54" s="50"/>
      <c r="G54" s="50"/>
      <c r="H54" s="51"/>
    </row>
    <row r="55" ht="15.75" customHeight="1">
      <c r="A55" s="63"/>
      <c r="H55" s="64"/>
    </row>
    <row r="56" ht="15.75" customHeight="1">
      <c r="A56" s="63"/>
      <c r="H56" s="64"/>
    </row>
    <row r="57" ht="15.75" customHeight="1">
      <c r="A57" s="52"/>
      <c r="B57" s="53"/>
      <c r="C57" s="53"/>
      <c r="D57" s="53"/>
      <c r="E57" s="53"/>
      <c r="F57" s="53"/>
      <c r="G57" s="53"/>
      <c r="H57" s="54"/>
    </row>
    <row r="58" ht="15.75" customHeight="1"/>
    <row r="59" ht="15.75" customHeight="1"/>
    <row r="60" ht="15.75" customHeight="1">
      <c r="A60" s="46" t="s">
        <v>304</v>
      </c>
      <c r="E60" s="40" t="s">
        <v>184</v>
      </c>
      <c r="F60" s="47">
        <v>5.0</v>
      </c>
      <c r="G60" s="40" t="s">
        <v>270</v>
      </c>
      <c r="H60" s="47">
        <v>1.0</v>
      </c>
    </row>
    <row r="61" ht="15.75" customHeight="1">
      <c r="A61" s="42" t="s">
        <v>279</v>
      </c>
    </row>
    <row r="62" ht="15.75" customHeight="1">
      <c r="A62" s="57" t="s">
        <v>196</v>
      </c>
      <c r="B62" s="37" t="s">
        <v>231</v>
      </c>
      <c r="C62" s="26"/>
      <c r="D62" s="26"/>
      <c r="E62" s="26"/>
      <c r="F62" s="26"/>
      <c r="G62" s="26"/>
      <c r="H62" s="27"/>
    </row>
    <row r="63" ht="15.75" customHeight="1">
      <c r="A63" s="57" t="s">
        <v>196</v>
      </c>
      <c r="B63" s="37" t="s">
        <v>241</v>
      </c>
      <c r="C63" s="26"/>
      <c r="D63" s="26"/>
      <c r="E63" s="26"/>
      <c r="F63" s="26"/>
      <c r="G63" s="26"/>
      <c r="H63" s="27"/>
    </row>
    <row r="64" ht="15.75" customHeight="1">
      <c r="A64" s="57" t="s">
        <v>196</v>
      </c>
      <c r="B64" s="25"/>
      <c r="C64" s="26"/>
      <c r="D64" s="26"/>
      <c r="E64" s="26"/>
      <c r="F64" s="26"/>
      <c r="G64" s="26"/>
      <c r="H64" s="27"/>
    </row>
    <row r="65" ht="15.75" customHeight="1">
      <c r="A65" s="57" t="s">
        <v>271</v>
      </c>
      <c r="B65" s="25"/>
      <c r="C65" s="26"/>
      <c r="D65" s="26"/>
      <c r="E65" s="26"/>
      <c r="F65" s="26"/>
      <c r="G65" s="26"/>
      <c r="H65" s="27"/>
    </row>
    <row r="66" ht="15.75" customHeight="1">
      <c r="A66" s="48" t="s">
        <v>273</v>
      </c>
      <c r="B66" s="26"/>
      <c r="C66" s="26"/>
      <c r="D66" s="26"/>
      <c r="E66" s="26"/>
      <c r="F66" s="26"/>
      <c r="G66" s="26"/>
      <c r="H66" s="27"/>
    </row>
    <row r="67" ht="15.75" customHeight="1">
      <c r="A67" s="49" t="s">
        <v>305</v>
      </c>
      <c r="B67" s="50"/>
      <c r="C67" s="50"/>
      <c r="D67" s="50"/>
      <c r="E67" s="50"/>
      <c r="F67" s="50"/>
      <c r="G67" s="50"/>
      <c r="H67" s="51"/>
    </row>
    <row r="68" ht="15.75" customHeight="1">
      <c r="A68" s="63"/>
      <c r="H68" s="64"/>
    </row>
    <row r="69" ht="15.75" customHeight="1">
      <c r="A69" s="52"/>
      <c r="B69" s="53"/>
      <c r="C69" s="53"/>
      <c r="D69" s="53"/>
      <c r="E69" s="53"/>
      <c r="F69" s="53"/>
      <c r="G69" s="53"/>
      <c r="H69" s="54"/>
    </row>
    <row r="70" ht="15.75" customHeight="1">
      <c r="A70" s="48" t="s">
        <v>275</v>
      </c>
      <c r="B70" s="26"/>
      <c r="C70" s="26"/>
      <c r="D70" s="26"/>
      <c r="E70" s="26"/>
      <c r="F70" s="26"/>
      <c r="G70" s="26"/>
      <c r="H70" s="27"/>
    </row>
    <row r="71" ht="15.75" customHeight="1">
      <c r="A71" s="49" t="s">
        <v>306</v>
      </c>
      <c r="B71" s="50"/>
      <c r="C71" s="50"/>
      <c r="D71" s="50"/>
      <c r="E71" s="50"/>
      <c r="F71" s="50"/>
      <c r="G71" s="50"/>
      <c r="H71" s="51"/>
    </row>
    <row r="72" ht="15.75" customHeight="1">
      <c r="A72" s="63"/>
      <c r="H72" s="64"/>
    </row>
    <row r="73" ht="15.75" customHeight="1">
      <c r="A73" s="63"/>
      <c r="H73" s="64"/>
    </row>
    <row r="74" ht="15.75" customHeight="1">
      <c r="A74" s="52"/>
      <c r="B74" s="53"/>
      <c r="C74" s="53"/>
      <c r="D74" s="53"/>
      <c r="E74" s="53"/>
      <c r="F74" s="53"/>
      <c r="G74" s="53"/>
      <c r="H74" s="54"/>
    </row>
    <row r="75" ht="15.75" customHeight="1"/>
    <row r="76" ht="15.75" customHeight="1"/>
    <row r="77" ht="15.75" customHeight="1">
      <c r="A77" s="46" t="s">
        <v>307</v>
      </c>
      <c r="E77" s="40" t="s">
        <v>184</v>
      </c>
      <c r="F77" s="55"/>
      <c r="G77" s="40" t="s">
        <v>270</v>
      </c>
      <c r="H77" s="55"/>
    </row>
    <row r="78" ht="15.75" customHeight="1">
      <c r="A78" s="42" t="s">
        <v>279</v>
      </c>
    </row>
    <row r="79" ht="15.75" customHeight="1">
      <c r="A79" s="57" t="s">
        <v>196</v>
      </c>
      <c r="B79" s="25"/>
      <c r="C79" s="26"/>
      <c r="D79" s="26"/>
      <c r="E79" s="26"/>
      <c r="F79" s="26"/>
      <c r="G79" s="26"/>
      <c r="H79" s="27"/>
    </row>
    <row r="80" ht="15.75" customHeight="1">
      <c r="A80" s="57" t="s">
        <v>196</v>
      </c>
      <c r="B80" s="25"/>
      <c r="C80" s="26"/>
      <c r="D80" s="26"/>
      <c r="E80" s="26"/>
      <c r="F80" s="26"/>
      <c r="G80" s="26"/>
      <c r="H80" s="27"/>
    </row>
    <row r="81" ht="15.75" customHeight="1">
      <c r="A81" s="57" t="s">
        <v>196</v>
      </c>
      <c r="B81" s="25"/>
      <c r="C81" s="26"/>
      <c r="D81" s="26"/>
      <c r="E81" s="26"/>
      <c r="F81" s="26"/>
      <c r="G81" s="26"/>
      <c r="H81" s="27"/>
    </row>
    <row r="82" ht="15.75" customHeight="1">
      <c r="A82" s="57" t="s">
        <v>271</v>
      </c>
      <c r="B82" s="25"/>
      <c r="C82" s="26"/>
      <c r="D82" s="26"/>
      <c r="E82" s="26"/>
      <c r="F82" s="26"/>
      <c r="G82" s="26"/>
      <c r="H82" s="27"/>
    </row>
    <row r="83" ht="15.75" customHeight="1">
      <c r="A83" s="48" t="s">
        <v>273</v>
      </c>
      <c r="B83" s="26"/>
      <c r="C83" s="26"/>
      <c r="D83" s="26"/>
      <c r="E83" s="26"/>
      <c r="F83" s="26"/>
      <c r="G83" s="26"/>
      <c r="H83" s="27"/>
    </row>
    <row r="84" ht="15.75" customHeight="1">
      <c r="A84" s="66"/>
      <c r="B84" s="50"/>
      <c r="C84" s="50"/>
      <c r="D84" s="50"/>
      <c r="E84" s="50"/>
      <c r="F84" s="50"/>
      <c r="G84" s="50"/>
      <c r="H84" s="51"/>
    </row>
    <row r="85" ht="15.75" customHeight="1">
      <c r="A85" s="63"/>
      <c r="H85" s="64"/>
    </row>
    <row r="86" ht="15.75" customHeight="1">
      <c r="A86" s="52"/>
      <c r="B86" s="53"/>
      <c r="C86" s="53"/>
      <c r="D86" s="53"/>
      <c r="E86" s="53"/>
      <c r="F86" s="53"/>
      <c r="G86" s="53"/>
      <c r="H86" s="54"/>
    </row>
    <row r="87" ht="15.75" customHeight="1">
      <c r="A87" s="48" t="s">
        <v>275</v>
      </c>
      <c r="B87" s="26"/>
      <c r="C87" s="26"/>
      <c r="D87" s="26"/>
      <c r="E87" s="26"/>
      <c r="F87" s="26"/>
      <c r="G87" s="26"/>
      <c r="H87" s="27"/>
    </row>
    <row r="88" ht="15.75" customHeight="1">
      <c r="A88" s="66"/>
      <c r="B88" s="50"/>
      <c r="C88" s="50"/>
      <c r="D88" s="50"/>
      <c r="E88" s="50"/>
      <c r="F88" s="50"/>
      <c r="G88" s="50"/>
      <c r="H88" s="51"/>
    </row>
    <row r="89" ht="15.75" customHeight="1">
      <c r="A89" s="63"/>
      <c r="H89" s="64"/>
    </row>
    <row r="90" ht="15.75" customHeight="1">
      <c r="A90" s="63"/>
      <c r="H90" s="64"/>
    </row>
    <row r="91" ht="15.75" customHeight="1">
      <c r="A91" s="52"/>
      <c r="B91" s="53"/>
      <c r="C91" s="53"/>
      <c r="D91" s="53"/>
      <c r="E91" s="53"/>
      <c r="F91" s="53"/>
      <c r="G91" s="53"/>
      <c r="H91" s="54"/>
    </row>
    <row r="92" ht="15.75" customHeight="1"/>
    <row r="93" ht="15.75" customHeight="1"/>
    <row r="94" ht="15.75" customHeight="1">
      <c r="A94" s="46" t="s">
        <v>308</v>
      </c>
      <c r="E94" s="40" t="s">
        <v>184</v>
      </c>
      <c r="F94" s="55"/>
      <c r="G94" s="40" t="s">
        <v>270</v>
      </c>
      <c r="H94" s="55"/>
    </row>
    <row r="95" ht="15.75" customHeight="1">
      <c r="A95" s="42" t="s">
        <v>279</v>
      </c>
    </row>
    <row r="96" ht="15.75" customHeight="1">
      <c r="A96" s="57" t="s">
        <v>196</v>
      </c>
      <c r="B96" s="25"/>
      <c r="C96" s="26"/>
      <c r="D96" s="26"/>
      <c r="E96" s="26"/>
      <c r="F96" s="26"/>
      <c r="G96" s="26"/>
      <c r="H96" s="27"/>
    </row>
    <row r="97" ht="15.75" customHeight="1">
      <c r="A97" s="57" t="s">
        <v>196</v>
      </c>
      <c r="B97" s="25"/>
      <c r="C97" s="26"/>
      <c r="D97" s="26"/>
      <c r="E97" s="26"/>
      <c r="F97" s="26"/>
      <c r="G97" s="26"/>
      <c r="H97" s="27"/>
    </row>
    <row r="98" ht="15.75" customHeight="1">
      <c r="A98" s="57" t="s">
        <v>196</v>
      </c>
      <c r="B98" s="25"/>
      <c r="C98" s="26"/>
      <c r="D98" s="26"/>
      <c r="E98" s="26"/>
      <c r="F98" s="26"/>
      <c r="G98" s="26"/>
      <c r="H98" s="27"/>
    </row>
    <row r="99" ht="15.75" customHeight="1">
      <c r="A99" s="57" t="s">
        <v>271</v>
      </c>
      <c r="B99" s="25"/>
      <c r="C99" s="26"/>
      <c r="D99" s="26"/>
      <c r="E99" s="26"/>
      <c r="F99" s="26"/>
      <c r="G99" s="26"/>
      <c r="H99" s="27"/>
    </row>
    <row r="100" ht="15.75" customHeight="1">
      <c r="A100" s="48" t="s">
        <v>273</v>
      </c>
      <c r="B100" s="26"/>
      <c r="C100" s="26"/>
      <c r="D100" s="26"/>
      <c r="E100" s="26"/>
      <c r="F100" s="26"/>
      <c r="G100" s="26"/>
      <c r="H100" s="27"/>
    </row>
    <row r="101" ht="15.75" customHeight="1">
      <c r="A101" s="66"/>
      <c r="B101" s="50"/>
      <c r="C101" s="50"/>
      <c r="D101" s="50"/>
      <c r="E101" s="50"/>
      <c r="F101" s="50"/>
      <c r="G101" s="50"/>
      <c r="H101" s="51"/>
    </row>
    <row r="102" ht="15.75" customHeight="1">
      <c r="A102" s="63"/>
      <c r="H102" s="64"/>
    </row>
    <row r="103" ht="15.75" customHeight="1">
      <c r="A103" s="52"/>
      <c r="B103" s="53"/>
      <c r="C103" s="53"/>
      <c r="D103" s="53"/>
      <c r="E103" s="53"/>
      <c r="F103" s="53"/>
      <c r="G103" s="53"/>
      <c r="H103" s="54"/>
    </row>
    <row r="104" ht="15.75" customHeight="1">
      <c r="A104" s="48" t="s">
        <v>275</v>
      </c>
      <c r="B104" s="26"/>
      <c r="C104" s="26"/>
      <c r="D104" s="26"/>
      <c r="E104" s="26"/>
      <c r="F104" s="26"/>
      <c r="G104" s="26"/>
      <c r="H104" s="27"/>
    </row>
    <row r="105" ht="15.75" customHeight="1">
      <c r="A105" s="66"/>
      <c r="B105" s="50"/>
      <c r="C105" s="50"/>
      <c r="D105" s="50"/>
      <c r="E105" s="50"/>
      <c r="F105" s="50"/>
      <c r="G105" s="50"/>
      <c r="H105" s="51"/>
    </row>
    <row r="106" ht="15.75" customHeight="1">
      <c r="A106" s="63"/>
      <c r="H106" s="64"/>
    </row>
    <row r="107" ht="15.75" customHeight="1">
      <c r="A107" s="63"/>
      <c r="H107" s="64"/>
    </row>
    <row r="108" ht="15.75" customHeight="1">
      <c r="A108" s="52"/>
      <c r="B108" s="53"/>
      <c r="C108" s="53"/>
      <c r="D108" s="53"/>
      <c r="E108" s="53"/>
      <c r="F108" s="53"/>
      <c r="G108" s="53"/>
      <c r="H108" s="54"/>
    </row>
    <row r="109" ht="15.75" customHeight="1"/>
    <row r="110" ht="15.75" customHeight="1"/>
    <row r="111" ht="15.75" customHeight="1">
      <c r="A111" s="46" t="s">
        <v>309</v>
      </c>
      <c r="E111" s="40" t="s">
        <v>184</v>
      </c>
      <c r="F111" s="55"/>
      <c r="G111" s="40" t="s">
        <v>270</v>
      </c>
      <c r="H111" s="55"/>
    </row>
    <row r="112" ht="15.75" customHeight="1">
      <c r="A112" s="42" t="s">
        <v>279</v>
      </c>
    </row>
    <row r="113" ht="15.75" customHeight="1">
      <c r="A113" s="57" t="s">
        <v>196</v>
      </c>
      <c r="B113" s="25"/>
      <c r="C113" s="26"/>
      <c r="D113" s="26"/>
      <c r="E113" s="26"/>
      <c r="F113" s="26"/>
      <c r="G113" s="26"/>
      <c r="H113" s="27"/>
    </row>
    <row r="114" ht="15.75" customHeight="1">
      <c r="A114" s="57" t="s">
        <v>196</v>
      </c>
      <c r="B114" s="25"/>
      <c r="C114" s="26"/>
      <c r="D114" s="26"/>
      <c r="E114" s="26"/>
      <c r="F114" s="26"/>
      <c r="G114" s="26"/>
      <c r="H114" s="27"/>
    </row>
    <row r="115" ht="15.75" customHeight="1">
      <c r="A115" s="57" t="s">
        <v>196</v>
      </c>
      <c r="B115" s="25"/>
      <c r="C115" s="26"/>
      <c r="D115" s="26"/>
      <c r="E115" s="26"/>
      <c r="F115" s="26"/>
      <c r="G115" s="26"/>
      <c r="H115" s="27"/>
    </row>
    <row r="116" ht="15.75" customHeight="1">
      <c r="A116" s="57" t="s">
        <v>271</v>
      </c>
      <c r="B116" s="25"/>
      <c r="C116" s="26"/>
      <c r="D116" s="26"/>
      <c r="E116" s="26"/>
      <c r="F116" s="26"/>
      <c r="G116" s="26"/>
      <c r="H116" s="27"/>
    </row>
    <row r="117" ht="15.75" customHeight="1">
      <c r="A117" s="48" t="s">
        <v>273</v>
      </c>
      <c r="B117" s="26"/>
      <c r="C117" s="26"/>
      <c r="D117" s="26"/>
      <c r="E117" s="26"/>
      <c r="F117" s="26"/>
      <c r="G117" s="26"/>
      <c r="H117" s="27"/>
    </row>
    <row r="118" ht="15.75" customHeight="1">
      <c r="A118" s="66"/>
      <c r="B118" s="50"/>
      <c r="C118" s="50"/>
      <c r="D118" s="50"/>
      <c r="E118" s="50"/>
      <c r="F118" s="50"/>
      <c r="G118" s="50"/>
      <c r="H118" s="51"/>
    </row>
    <row r="119" ht="15.75" customHeight="1">
      <c r="A119" s="63"/>
      <c r="H119" s="64"/>
    </row>
    <row r="120" ht="15.75" customHeight="1">
      <c r="A120" s="52"/>
      <c r="B120" s="53"/>
      <c r="C120" s="53"/>
      <c r="D120" s="53"/>
      <c r="E120" s="53"/>
      <c r="F120" s="53"/>
      <c r="G120" s="53"/>
      <c r="H120" s="54"/>
    </row>
    <row r="121" ht="15.75" customHeight="1">
      <c r="A121" s="48" t="s">
        <v>275</v>
      </c>
      <c r="B121" s="26"/>
      <c r="C121" s="26"/>
      <c r="D121" s="26"/>
      <c r="E121" s="26"/>
      <c r="F121" s="26"/>
      <c r="G121" s="26"/>
      <c r="H121" s="27"/>
    </row>
    <row r="122" ht="15.75" customHeight="1">
      <c r="A122" s="66"/>
      <c r="B122" s="50"/>
      <c r="C122" s="50"/>
      <c r="D122" s="50"/>
      <c r="E122" s="50"/>
      <c r="F122" s="50"/>
      <c r="G122" s="50"/>
      <c r="H122" s="51"/>
    </row>
    <row r="123" ht="15.75" customHeight="1">
      <c r="A123" s="63"/>
      <c r="H123" s="64"/>
    </row>
    <row r="124" ht="15.75" customHeight="1">
      <c r="A124" s="63"/>
      <c r="H124" s="64"/>
    </row>
    <row r="125" ht="15.75" customHeight="1">
      <c r="A125" s="52"/>
      <c r="B125" s="53"/>
      <c r="C125" s="53"/>
      <c r="D125" s="53"/>
      <c r="E125" s="53"/>
      <c r="F125" s="53"/>
      <c r="G125" s="53"/>
      <c r="H125" s="5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23"/>
    </row>
    <row r="2" ht="15.75" customHeight="1">
      <c r="A2" s="23"/>
      <c r="B2" s="44" t="s">
        <v>310</v>
      </c>
    </row>
    <row r="3" ht="15.75" customHeight="1">
      <c r="A3" s="23"/>
    </row>
    <row r="4" ht="15.75" customHeight="1">
      <c r="A4" s="23"/>
      <c r="B4" s="3" t="s">
        <v>1</v>
      </c>
      <c r="C4" s="3" t="str">
        <f>'Diseño'!C4</f>
        <v>787 - Sistemas Organizacionales y Gerenciales 2</v>
      </c>
    </row>
    <row r="5" ht="27.0" customHeight="1">
      <c r="A5" s="23"/>
      <c r="B5" s="23" t="s">
        <v>3</v>
      </c>
      <c r="C5" s="5" t="s">
        <v>4</v>
      </c>
    </row>
    <row r="6" ht="24.75" customHeight="1">
      <c r="A6" s="23"/>
      <c r="B6" s="23" t="s">
        <v>311</v>
      </c>
      <c r="H6" s="75"/>
    </row>
    <row r="7" ht="15.75" customHeight="1">
      <c r="A7" s="23"/>
    </row>
    <row r="8" ht="15.75" customHeight="1">
      <c r="A8" s="23"/>
    </row>
    <row r="9" ht="15.75" customHeight="1">
      <c r="A9" s="40" t="s">
        <v>312</v>
      </c>
      <c r="B9" s="76">
        <v>30.0</v>
      </c>
      <c r="D9" s="40" t="s">
        <v>267</v>
      </c>
      <c r="E9" s="77">
        <v>35.0</v>
      </c>
      <c r="F9" s="78"/>
      <c r="G9" s="78"/>
      <c r="H9" s="78"/>
      <c r="I9" s="78"/>
      <c r="J9" s="78"/>
      <c r="K9" s="78"/>
      <c r="L9" s="78"/>
      <c r="M9" s="78"/>
      <c r="N9" s="78"/>
      <c r="O9" s="78"/>
      <c r="P9" s="78"/>
      <c r="Q9" s="78"/>
      <c r="R9" s="78"/>
      <c r="S9" s="78"/>
      <c r="T9" s="78"/>
      <c r="U9" s="78"/>
      <c r="V9" s="78"/>
      <c r="W9" s="78"/>
      <c r="X9" s="78"/>
      <c r="Y9" s="78"/>
      <c r="Z9" s="78"/>
    </row>
    <row r="10" ht="15.75" customHeight="1">
      <c r="A10" s="79" t="s">
        <v>313</v>
      </c>
      <c r="D10" s="79" t="s">
        <v>314</v>
      </c>
    </row>
    <row r="11" ht="15.75" customHeight="1">
      <c r="A11" s="80"/>
      <c r="B11" s="81"/>
      <c r="C11" s="81"/>
      <c r="D11" s="81"/>
    </row>
    <row r="12" ht="15.75" customHeight="1">
      <c r="A12" s="82" t="s">
        <v>216</v>
      </c>
      <c r="B12" s="83" t="s">
        <v>315</v>
      </c>
      <c r="C12" s="83" t="s">
        <v>316</v>
      </c>
      <c r="D12" s="83" t="s">
        <v>317</v>
      </c>
    </row>
    <row r="13" ht="28.5" customHeight="1">
      <c r="A13" s="45" t="s">
        <v>318</v>
      </c>
      <c r="B13" s="73">
        <v>30.0</v>
      </c>
      <c r="C13" s="73">
        <v>3.0</v>
      </c>
      <c r="D13" s="73" t="s">
        <v>319</v>
      </c>
      <c r="E13" s="79" t="s">
        <v>320</v>
      </c>
    </row>
    <row r="14" ht="15.75" customHeight="1">
      <c r="A14" s="45" t="s">
        <v>267</v>
      </c>
      <c r="B14" s="28">
        <f>Proyectos!C6</f>
        <v>35</v>
      </c>
      <c r="C14" s="28">
        <f>Proyectos!C5</f>
        <v>30</v>
      </c>
      <c r="D14" s="28"/>
    </row>
    <row r="15" ht="15.75" customHeight="1">
      <c r="A15" s="45" t="s">
        <v>280</v>
      </c>
      <c r="B15" s="28">
        <f>Practicas!C6</f>
        <v>15</v>
      </c>
      <c r="C15" s="28">
        <f>Practicas!C5</f>
        <v>20</v>
      </c>
      <c r="D15" s="28"/>
    </row>
    <row r="16" ht="15.75" customHeight="1">
      <c r="A16" s="45" t="s">
        <v>293</v>
      </c>
      <c r="B16" s="28">
        <f>Tareas!C6</f>
        <v>20</v>
      </c>
      <c r="C16" s="28">
        <f>Tareas!C5</f>
        <v>9</v>
      </c>
      <c r="D16" s="28"/>
    </row>
    <row r="17" ht="15.75" customHeight="1">
      <c r="A17" s="84" t="s">
        <v>321</v>
      </c>
      <c r="B17" s="85">
        <f t="shared" ref="B17:C17" si="1">SUM(B13:B16)</f>
        <v>100</v>
      </c>
      <c r="C17" s="85">
        <f t="shared" si="1"/>
        <v>62</v>
      </c>
      <c r="D17" s="85"/>
    </row>
    <row r="18" ht="15.75" customHeight="1">
      <c r="A18" s="23"/>
    </row>
    <row r="19" ht="15.75" customHeight="1">
      <c r="A19" s="23"/>
    </row>
    <row r="20" ht="15.75" customHeight="1">
      <c r="A20" s="23"/>
    </row>
    <row r="21" ht="15.75" customHeight="1">
      <c r="A21" s="23"/>
    </row>
    <row r="22" ht="15.75" customHeight="1">
      <c r="A22" s="23"/>
    </row>
    <row r="23" ht="15.75" customHeight="1">
      <c r="A23" s="23"/>
    </row>
    <row r="24" ht="15.75" customHeight="1">
      <c r="A24" s="23"/>
    </row>
    <row r="25" ht="15.75" customHeight="1">
      <c r="A25" s="23"/>
    </row>
    <row r="26" ht="15.75" customHeight="1">
      <c r="A26" s="23"/>
    </row>
    <row r="27" ht="15.75" customHeight="1">
      <c r="A27" s="23"/>
    </row>
    <row r="28" ht="15.75" customHeight="1">
      <c r="A28" s="23"/>
    </row>
    <row r="29" ht="15.75" customHeight="1">
      <c r="A29" s="23"/>
    </row>
    <row r="30" ht="15.75" customHeight="1">
      <c r="A30" s="23"/>
    </row>
    <row r="31" ht="15.75" customHeight="1">
      <c r="A31" s="23"/>
    </row>
    <row r="32" ht="15.75" customHeight="1">
      <c r="A32" s="23"/>
    </row>
    <row r="33" ht="15.75" customHeight="1">
      <c r="A33" s="23"/>
    </row>
    <row r="34" ht="15.75" customHeight="1">
      <c r="A34" s="23"/>
    </row>
    <row r="35" ht="15.75" customHeight="1">
      <c r="A35" s="23"/>
    </row>
    <row r="36" ht="15.75" customHeight="1">
      <c r="A36" s="23"/>
    </row>
    <row r="37" ht="15.75" customHeight="1">
      <c r="A37" s="23"/>
    </row>
    <row r="38" ht="15.75" customHeight="1">
      <c r="A38" s="23"/>
    </row>
    <row r="39" ht="15.75" customHeight="1">
      <c r="A39" s="23"/>
    </row>
    <row r="40" ht="15.75" customHeight="1">
      <c r="A40" s="23"/>
    </row>
    <row r="41" ht="15.75" customHeight="1">
      <c r="A41" s="23"/>
    </row>
    <row r="42" ht="15.75" customHeight="1">
      <c r="A42" s="23"/>
    </row>
    <row r="43" ht="15.75" customHeight="1">
      <c r="A43" s="23"/>
    </row>
    <row r="44" ht="15.75" customHeight="1">
      <c r="A44" s="23"/>
    </row>
    <row r="45" ht="15.75" customHeight="1">
      <c r="A45" s="23"/>
    </row>
    <row r="46" ht="15.75" customHeight="1">
      <c r="A46" s="23"/>
    </row>
    <row r="47" ht="15.75" customHeight="1">
      <c r="A47" s="23"/>
    </row>
    <row r="48" ht="15.75" customHeight="1">
      <c r="A48" s="23"/>
    </row>
    <row r="49" ht="15.75" customHeight="1">
      <c r="A49" s="23"/>
    </row>
    <row r="50" ht="15.75" customHeight="1">
      <c r="A50" s="23"/>
    </row>
    <row r="51" ht="15.75" customHeight="1">
      <c r="A51" s="23"/>
    </row>
    <row r="52" ht="15.75" customHeight="1">
      <c r="A52" s="23"/>
    </row>
    <row r="53" ht="15.75" customHeight="1">
      <c r="A53" s="23"/>
    </row>
    <row r="54" ht="15.75" customHeight="1">
      <c r="A54" s="23"/>
    </row>
    <row r="55" ht="15.75" customHeight="1">
      <c r="A55" s="23"/>
    </row>
    <row r="56" ht="15.75" customHeight="1">
      <c r="A56" s="23"/>
    </row>
    <row r="57" ht="15.75" customHeight="1">
      <c r="A57" s="23"/>
    </row>
    <row r="58" ht="15.75" customHeight="1">
      <c r="A58" s="23"/>
    </row>
    <row r="59" ht="15.75" customHeight="1">
      <c r="A59" s="23"/>
    </row>
    <row r="60" ht="15.75" customHeight="1">
      <c r="A60" s="23"/>
    </row>
    <row r="61" ht="15.75" customHeight="1">
      <c r="A61" s="23"/>
    </row>
    <row r="62" ht="15.75" customHeight="1">
      <c r="A62" s="23"/>
    </row>
    <row r="63" ht="15.75" customHeight="1">
      <c r="A63" s="23"/>
    </row>
    <row r="64" ht="15.75" customHeight="1">
      <c r="A64" s="23"/>
    </row>
    <row r="65" ht="15.75" customHeight="1">
      <c r="A65" s="23"/>
    </row>
    <row r="66" ht="15.75" customHeight="1">
      <c r="A66" s="23"/>
    </row>
    <row r="67" ht="15.75" customHeight="1">
      <c r="A67" s="23"/>
    </row>
    <row r="68" ht="15.75" customHeight="1">
      <c r="A68" s="23"/>
    </row>
    <row r="69" ht="15.75" customHeight="1">
      <c r="A69" s="23"/>
    </row>
    <row r="70" ht="15.75" customHeight="1">
      <c r="A70" s="23"/>
    </row>
    <row r="71" ht="15.75" customHeight="1">
      <c r="A71" s="23"/>
    </row>
    <row r="72" ht="15.75" customHeight="1">
      <c r="A72" s="23"/>
    </row>
    <row r="73" ht="15.75" customHeight="1">
      <c r="A73" s="23"/>
    </row>
    <row r="74" ht="15.75" customHeight="1">
      <c r="A74" s="23"/>
    </row>
    <row r="75" ht="15.75" customHeight="1">
      <c r="A75" s="23"/>
    </row>
    <row r="76" ht="15.75" customHeight="1">
      <c r="A76" s="23"/>
    </row>
    <row r="77" ht="15.75" customHeight="1">
      <c r="A77" s="23"/>
    </row>
    <row r="78" ht="15.75" customHeight="1">
      <c r="A78" s="23"/>
    </row>
    <row r="79" ht="15.75" customHeight="1">
      <c r="A79" s="23"/>
    </row>
    <row r="80" ht="15.75" customHeight="1">
      <c r="A80" s="23"/>
    </row>
    <row r="81" ht="15.75" customHeight="1">
      <c r="A81" s="23"/>
    </row>
    <row r="82" ht="15.75" customHeight="1">
      <c r="A82" s="23"/>
    </row>
    <row r="83" ht="15.75" customHeight="1">
      <c r="A83" s="23"/>
    </row>
    <row r="84" ht="15.75" customHeight="1">
      <c r="A84" s="23"/>
    </row>
    <row r="85" ht="15.75" customHeight="1">
      <c r="A85" s="23"/>
    </row>
    <row r="86" ht="15.75" customHeight="1">
      <c r="A86" s="23"/>
    </row>
    <row r="87" ht="15.75" customHeight="1">
      <c r="A87" s="23"/>
    </row>
    <row r="88" ht="15.75" customHeight="1">
      <c r="A88" s="23"/>
    </row>
    <row r="89" ht="15.75" customHeight="1">
      <c r="A89" s="23"/>
    </row>
    <row r="90" ht="15.75" customHeight="1">
      <c r="A90" s="23"/>
    </row>
    <row r="91" ht="15.75" customHeight="1">
      <c r="A91" s="23"/>
    </row>
    <row r="92" ht="15.75" customHeight="1">
      <c r="A92" s="23"/>
    </row>
    <row r="93" ht="15.75" customHeight="1">
      <c r="A93" s="23"/>
    </row>
    <row r="94" ht="15.75" customHeight="1">
      <c r="A94" s="23"/>
    </row>
    <row r="95" ht="15.75" customHeight="1">
      <c r="A95" s="23"/>
    </row>
    <row r="96" ht="15.75" customHeight="1">
      <c r="A96" s="23"/>
    </row>
    <row r="97" ht="15.75" customHeight="1">
      <c r="A97" s="23"/>
    </row>
    <row r="98" ht="15.75" customHeight="1">
      <c r="A98" s="23"/>
    </row>
    <row r="99" ht="15.75" customHeight="1">
      <c r="A99" s="23"/>
    </row>
    <row r="100" ht="15.75" customHeight="1">
      <c r="A100" s="23"/>
    </row>
    <row r="101" ht="15.75" customHeight="1">
      <c r="A101" s="23"/>
    </row>
    <row r="102" ht="15.75" customHeight="1">
      <c r="A102" s="23"/>
    </row>
    <row r="103" ht="15.75" customHeight="1">
      <c r="A103" s="23"/>
    </row>
    <row r="104" ht="15.75" customHeight="1">
      <c r="A104" s="23"/>
    </row>
    <row r="105" ht="15.75" customHeight="1">
      <c r="A105" s="23"/>
    </row>
    <row r="106" ht="15.75" customHeight="1">
      <c r="A106" s="23"/>
    </row>
    <row r="107" ht="15.75" customHeight="1">
      <c r="A107" s="23"/>
    </row>
    <row r="108" ht="15.75" customHeight="1">
      <c r="A108" s="23"/>
    </row>
    <row r="109" ht="15.75" customHeight="1">
      <c r="A109" s="23"/>
    </row>
    <row r="110" ht="15.75" customHeight="1">
      <c r="A110" s="23"/>
    </row>
    <row r="111" ht="15.75" customHeight="1">
      <c r="A111" s="23"/>
    </row>
    <row r="112" ht="15.75" customHeight="1">
      <c r="A112" s="23"/>
    </row>
    <row r="113" ht="15.75" customHeight="1">
      <c r="A113" s="23"/>
    </row>
    <row r="114" ht="15.75" customHeight="1">
      <c r="A114" s="23"/>
    </row>
    <row r="115" ht="15.75" customHeight="1">
      <c r="A115" s="23"/>
    </row>
    <row r="116" ht="15.75" customHeight="1">
      <c r="A116" s="23"/>
    </row>
    <row r="117" ht="15.75" customHeight="1">
      <c r="A117" s="23"/>
    </row>
    <row r="118" ht="15.75" customHeight="1">
      <c r="A118" s="23"/>
    </row>
    <row r="119" ht="15.75" customHeight="1">
      <c r="A119" s="23"/>
    </row>
    <row r="120" ht="15.75" customHeight="1">
      <c r="A120" s="23"/>
    </row>
    <row r="121" ht="15.75" customHeight="1">
      <c r="A121" s="23"/>
    </row>
    <row r="122" ht="15.75" customHeight="1">
      <c r="A122" s="23"/>
    </row>
    <row r="123" ht="15.75" customHeight="1">
      <c r="A123" s="23"/>
    </row>
    <row r="124" ht="15.75" customHeight="1">
      <c r="A124" s="23"/>
    </row>
    <row r="125" ht="15.75" customHeight="1">
      <c r="A125" s="23"/>
    </row>
    <row r="126" ht="15.75" customHeight="1">
      <c r="A126" s="23"/>
    </row>
    <row r="127" ht="15.75" customHeight="1">
      <c r="A127" s="23"/>
    </row>
    <row r="128" ht="15.75" customHeight="1">
      <c r="A128" s="23"/>
    </row>
    <row r="129" ht="15.75" customHeight="1">
      <c r="A129" s="23"/>
    </row>
    <row r="130" ht="15.75" customHeight="1">
      <c r="A130" s="23"/>
    </row>
    <row r="131" ht="15.75" customHeight="1">
      <c r="A131" s="23"/>
    </row>
    <row r="132" ht="15.75" customHeight="1">
      <c r="A132" s="23"/>
    </row>
    <row r="133" ht="15.75" customHeight="1">
      <c r="A133" s="23"/>
    </row>
    <row r="134" ht="15.75" customHeight="1">
      <c r="A134" s="23"/>
    </row>
    <row r="135" ht="15.75" customHeight="1">
      <c r="A135" s="23"/>
    </row>
    <row r="136" ht="15.75" customHeight="1">
      <c r="A136" s="23"/>
    </row>
    <row r="137" ht="15.75" customHeight="1">
      <c r="A137" s="23"/>
    </row>
    <row r="138" ht="15.75" customHeight="1">
      <c r="A138" s="23"/>
    </row>
    <row r="139" ht="15.75" customHeight="1">
      <c r="A139" s="23"/>
    </row>
    <row r="140" ht="15.75" customHeight="1">
      <c r="A140" s="23"/>
    </row>
    <row r="141" ht="15.75" customHeight="1">
      <c r="A141" s="23"/>
    </row>
    <row r="142" ht="15.75" customHeight="1">
      <c r="A142" s="23"/>
    </row>
    <row r="143" ht="15.75" customHeight="1">
      <c r="A143" s="23"/>
    </row>
    <row r="144" ht="15.75" customHeight="1">
      <c r="A144" s="23"/>
    </row>
    <row r="145" ht="15.75" customHeight="1">
      <c r="A145" s="23"/>
    </row>
    <row r="146" ht="15.75" customHeight="1">
      <c r="A146" s="23"/>
    </row>
    <row r="147" ht="15.75" customHeight="1">
      <c r="A147" s="23"/>
    </row>
    <row r="148" ht="15.75" customHeight="1">
      <c r="A148" s="23"/>
    </row>
    <row r="149" ht="15.75" customHeight="1">
      <c r="A149" s="23"/>
    </row>
    <row r="150" ht="15.75" customHeight="1">
      <c r="A150" s="23"/>
    </row>
    <row r="151" ht="15.75" customHeight="1">
      <c r="A151" s="23"/>
    </row>
    <row r="152" ht="15.75" customHeight="1">
      <c r="A152" s="23"/>
    </row>
    <row r="153" ht="15.75" customHeight="1">
      <c r="A153" s="23"/>
    </row>
    <row r="154" ht="15.75" customHeight="1">
      <c r="A154" s="23"/>
    </row>
    <row r="155" ht="15.75" customHeight="1">
      <c r="A155" s="23"/>
    </row>
    <row r="156" ht="15.75" customHeight="1">
      <c r="A156" s="23"/>
    </row>
    <row r="157" ht="15.75" customHeight="1">
      <c r="A157" s="23"/>
    </row>
    <row r="158" ht="15.75" customHeight="1">
      <c r="A158" s="23"/>
    </row>
    <row r="159" ht="15.75" customHeight="1">
      <c r="A159" s="23"/>
    </row>
    <row r="160" ht="15.75" customHeight="1">
      <c r="A160" s="23"/>
    </row>
    <row r="161" ht="15.75" customHeight="1">
      <c r="A161" s="23"/>
    </row>
    <row r="162" ht="15.75" customHeight="1">
      <c r="A162" s="23"/>
    </row>
    <row r="163" ht="15.75" customHeight="1">
      <c r="A163" s="23"/>
    </row>
    <row r="164" ht="15.75" customHeight="1">
      <c r="A164" s="23"/>
    </row>
    <row r="165" ht="15.75" customHeight="1">
      <c r="A165" s="23"/>
    </row>
    <row r="166" ht="15.75" customHeight="1">
      <c r="A166" s="23"/>
    </row>
    <row r="167" ht="15.75" customHeight="1">
      <c r="A167" s="23"/>
    </row>
    <row r="168" ht="15.75" customHeight="1">
      <c r="A168" s="23"/>
    </row>
    <row r="169" ht="15.75" customHeight="1">
      <c r="A169" s="23"/>
    </row>
    <row r="170" ht="15.75" customHeight="1">
      <c r="A170" s="23"/>
    </row>
    <row r="171" ht="15.75" customHeight="1">
      <c r="A171" s="23"/>
    </row>
    <row r="172" ht="15.75" customHeight="1">
      <c r="A172" s="23"/>
    </row>
    <row r="173" ht="15.75" customHeight="1">
      <c r="A173" s="23"/>
    </row>
    <row r="174" ht="15.75" customHeight="1">
      <c r="A174" s="23"/>
    </row>
    <row r="175" ht="15.75" customHeight="1">
      <c r="A175" s="23"/>
    </row>
    <row r="176" ht="15.75" customHeight="1">
      <c r="A176" s="23"/>
    </row>
    <row r="177" ht="15.75" customHeight="1">
      <c r="A177" s="23"/>
    </row>
    <row r="178" ht="15.75" customHeight="1">
      <c r="A178" s="23"/>
    </row>
    <row r="179" ht="15.75" customHeight="1">
      <c r="A179" s="23"/>
    </row>
    <row r="180" ht="15.75" customHeight="1">
      <c r="A180" s="23"/>
    </row>
    <row r="181" ht="15.75" customHeight="1">
      <c r="A181" s="23"/>
    </row>
    <row r="182" ht="15.75" customHeight="1">
      <c r="A182" s="23"/>
    </row>
    <row r="183" ht="15.75" customHeight="1">
      <c r="A183" s="23"/>
    </row>
    <row r="184" ht="15.75" customHeight="1">
      <c r="A184" s="23"/>
    </row>
    <row r="185" ht="15.75" customHeight="1">
      <c r="A185" s="23"/>
    </row>
    <row r="186" ht="15.75" customHeight="1">
      <c r="A186" s="23"/>
    </row>
    <row r="187" ht="15.75" customHeight="1">
      <c r="A187" s="23"/>
    </row>
    <row r="188" ht="15.75" customHeight="1">
      <c r="A188" s="23"/>
    </row>
    <row r="189" ht="15.75" customHeight="1">
      <c r="A189" s="23"/>
    </row>
    <row r="190" ht="15.75" customHeight="1">
      <c r="A190" s="23"/>
    </row>
    <row r="191" ht="15.75" customHeight="1">
      <c r="A191" s="23"/>
    </row>
    <row r="192" ht="15.75" customHeight="1">
      <c r="A192" s="23"/>
    </row>
    <row r="193" ht="15.75" customHeight="1">
      <c r="A193" s="23"/>
    </row>
    <row r="194" ht="15.75" customHeight="1">
      <c r="A194" s="23"/>
    </row>
    <row r="195" ht="15.75" customHeight="1">
      <c r="A195" s="23"/>
    </row>
    <row r="196" ht="15.75" customHeight="1">
      <c r="A196" s="23"/>
    </row>
    <row r="197" ht="15.75" customHeight="1">
      <c r="A197" s="23"/>
    </row>
    <row r="198" ht="15.75" customHeight="1">
      <c r="A198" s="23"/>
    </row>
    <row r="199" ht="15.75" customHeight="1">
      <c r="A199" s="23"/>
    </row>
    <row r="200" ht="15.75" customHeight="1">
      <c r="A200" s="23"/>
    </row>
    <row r="201" ht="15.75" customHeight="1">
      <c r="A201" s="23"/>
    </row>
    <row r="202" ht="15.75" customHeight="1">
      <c r="A202" s="23"/>
    </row>
    <row r="203" ht="15.75" customHeight="1">
      <c r="A203" s="23"/>
    </row>
    <row r="204" ht="15.75" customHeight="1">
      <c r="A204" s="23"/>
    </row>
    <row r="205" ht="15.75" customHeight="1">
      <c r="A205" s="23"/>
    </row>
    <row r="206" ht="15.75" customHeight="1">
      <c r="A206" s="23"/>
    </row>
    <row r="207" ht="15.75" customHeight="1">
      <c r="A207" s="23"/>
    </row>
    <row r="208" ht="15.75" customHeight="1">
      <c r="A208" s="23"/>
    </row>
    <row r="209" ht="15.75" customHeight="1">
      <c r="A209" s="23"/>
    </row>
    <row r="210" ht="15.75" customHeight="1">
      <c r="A210" s="23"/>
    </row>
    <row r="211" ht="15.75" customHeight="1">
      <c r="A211" s="23"/>
    </row>
    <row r="212" ht="15.75" customHeight="1">
      <c r="A212" s="23"/>
    </row>
    <row r="213" ht="15.75" customHeight="1">
      <c r="A213" s="23"/>
    </row>
    <row r="214" ht="15.75" customHeight="1">
      <c r="A214" s="23"/>
    </row>
    <row r="215" ht="15.75" customHeight="1">
      <c r="A215" s="23"/>
    </row>
    <row r="216" ht="15.75" customHeight="1">
      <c r="A216" s="23"/>
    </row>
    <row r="217" ht="15.75" customHeight="1">
      <c r="A217" s="23"/>
    </row>
    <row r="218" ht="15.75" customHeight="1">
      <c r="A218" s="23"/>
    </row>
    <row r="219" ht="15.75" customHeight="1">
      <c r="A219" s="23"/>
    </row>
    <row r="220" ht="15.75" customHeight="1">
      <c r="A220" s="2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4:H4"/>
    <mergeCell ref="C5:H5"/>
    <mergeCell ref="A10:B10"/>
    <mergeCell ref="D10:E10"/>
    <mergeCell ref="E13:F13"/>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IFERROR(__xludf.DUMMYFUNCTION("""COMPUTED_VALUE"""),"General")</f>
        <v>General</v>
      </c>
      <c r="J1" s="5" t="str">
        <f>IFERROR(__xludf.DUMMYFUNCTION("""COMPUTED_VALUE"""),"Analiza")</f>
        <v>Analiza</v>
      </c>
      <c r="K1" s="5" t="str">
        <f>IFERROR(__xludf.DUMMYFUNCTION("""COMPUTED_VALUE"""),"oportunidades críticas y de gran valor en un entorno empresarial")</f>
        <v>oportunidades críticas y de gran valor en un entorno empresarial</v>
      </c>
      <c r="L1" s="5"/>
      <c r="M1" s="5" t="str">
        <f>IFERROR(__xludf.DUMMYFUNCTION("""COMPUTED_VALUE"""),"haciendo uso de matrices y arboles de decisión, así como herramientas para el análisis de datos")</f>
        <v>haciendo uso de matrices y arboles de decisión, así como herramientas para el análisis de datos</v>
      </c>
      <c r="N1" s="5" t="str">
        <f>IFERROR(__xludf.DUMMYFUNCTION("""COMPUTED_VALUE"""),"para definir la mejor planificación y dirección empresarial         ")</f>
        <v>para definir la mejor planificación y dirección empresarial         </v>
      </c>
      <c r="O1" s="5"/>
      <c r="P1" s="5" t="str">
        <f>IFERROR(__xludf.DUMMYFUNCTION("""COMPUTED_VALUE"""),"Recordar")</f>
        <v>Recordar</v>
      </c>
    </row>
    <row r="2" ht="15.75" customHeight="1">
      <c r="A2" s="5" t="str">
        <f>IFERROR(__xludf.DUMMYFUNCTION("""COMPUTED_VALUE"""),"17 - Área Social Humanística 1")</f>
        <v>17 - Área Social Humanística 1</v>
      </c>
      <c r="B2" s="5"/>
      <c r="C2" s="5"/>
      <c r="D2" s="5"/>
      <c r="E2" s="5"/>
      <c r="H2" s="5"/>
      <c r="I2" s="5" t="str">
        <f>IFERROR(__xludf.DUMMYFUNCTION("""COMPUTED_VALUE"""),"Analiza oportunidades críticas y de gran valor en un entorno empresarial haciendo uso de matrices y arboles de decisión, así como herramientas para el análisis de datos para definir la mejor planificación y dirección empresarial          ")</f>
        <v>Analiza oportunidades críticas y de gran valor en un entorno empresarial haciendo uso de matrices y arboles de decisión, así como herramientas para el análisis de datos para definir la mejor planificación y dirección empresarial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IFERROR(__xludf.DUMMYFUNCTION("""COMPUTED_VALUE"""),"General")</f>
        <v>General</v>
      </c>
      <c r="J3" s="5" t="str">
        <f>IFERROR(__xludf.DUMMYFUNCTION("""COMPUTED_VALUE"""),"Evalúa")</f>
        <v>Evalúa</v>
      </c>
      <c r="K3" s="5" t="str">
        <f>IFERROR(__xludf.DUMMYFUNCTION("""COMPUTED_VALUE"""),"la efectividad de procesos administrativos        ")</f>
        <v>la efectividad de procesos administrativos        </v>
      </c>
      <c r="L3" s="5"/>
      <c r="M3" s="5" t="str">
        <f>IFERROR(__xludf.DUMMYFUNCTION("""COMPUTED_VALUE"""),"aplicando el ciclo del proceso administrativo")</f>
        <v>aplicando el ciclo del proceso administrativo</v>
      </c>
      <c r="N3" s="5" t="str">
        <f>IFERROR(__xludf.DUMMYFUNCTION("""COMPUTED_VALUE"""),"para identificar áreas de mejora en la gestión organizacional y proponer acciones correctivas        ")</f>
        <v>para identificar áreas de mejora en la gestión organizacional y proponer acciones correctivas        </v>
      </c>
      <c r="O3" s="5"/>
      <c r="P3" s="5" t="str">
        <f>IFERROR(__xludf.DUMMYFUNCTION("""COMPUTED_VALUE"""),"Evaluar")</f>
        <v>Evaluar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IFERROR(__xludf.DUMMYFUNCTION("""COMPUTED_VALUE"""),"Evalúa la efectividad de procesos administrativos         aplicando el ciclo del proceso administrativo para identificar áreas de mejora en la gestión organizacional y proponer acciones correctivas         ")</f>
        <v>Evalúa la efectividad de procesos administrativos         aplicando el ciclo del proceso administrativo para identificar áreas de mejora en la gestión organizacional y proponer acciones correctivas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IFERROR(__xludf.DUMMYFUNCTION("""COMPUTED_VALUE"""),"Razona")</f>
        <v>Razona</v>
      </c>
      <c r="K5" s="5" t="str">
        <f>IFERROR(__xludf.DUMMYFUNCTION("""COMPUTED_VALUE"""),"procesos de negocio y el uso de algoritmos para la toma de desciones y mapear los procesos        ")</f>
        <v>procesos de negocio y el uso de algoritmos para la toma de desciones y mapear los procesos        </v>
      </c>
      <c r="L5" s="5"/>
      <c r="M5" s="5" t="str">
        <f>IFERROR(__xludf.DUMMYFUNCTION("""COMPUTED_VALUE"""),"utilizando la informacion disponible y herramientas para generar flujos de trabajo")</f>
        <v>utilizando la informacion disponible y herramientas para generar flujos de trabajo</v>
      </c>
      <c r="N5" s="5" t="str">
        <f>IFERROR(__xludf.DUMMYFUNCTION("""COMPUTED_VALUE"""),"y tomar desiciones en base a datos historicos y optimizar procesos        ")</f>
        <v>y tomar desiciones en base a datos historicos y optimizar procesos        </v>
      </c>
      <c r="O5" s="5"/>
      <c r="P5" s="5" t="str">
        <f>IFERROR(__xludf.DUMMYFUNCTION("""COMPUTED_VALUE"""),"Analizar")</f>
        <v>Analizar</v>
      </c>
    </row>
    <row r="6" ht="15.75" customHeight="1">
      <c r="A6" s="5" t="str">
        <f>IFERROR(__xludf.DUMMYFUNCTION("""COMPUTED_VALUE"""),"6 - Idioma Tecnico 1")</f>
        <v>6 - Idioma Tecnico 1</v>
      </c>
      <c r="B6" s="5"/>
      <c r="C6" s="5"/>
      <c r="D6" s="5"/>
      <c r="E6" s="5"/>
      <c r="H6" s="5"/>
      <c r="I6" s="5" t="str">
        <f>IFERROR(__xludf.DUMMYFUNCTION("""COMPUTED_VALUE"""),"Razona procesos de negocio y el uso de algoritmos para la toma de desciones y mapear los procesos         utilizando la informacion disponible y herramientas para generar flujos de trabajo y tomar desiciones en base a datos historicos y optimizar procesos"&amp;"         ")</f>
        <v>Razona procesos de negocio y el uso de algoritmos para la toma de desciones y mapear los procesos         utilizando la informacion disponible y herramientas para generar flujos de trabajo y tomar desiciones en base a datos historicos y optimizar procesos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IFERROR(__xludf.DUMMYFUNCTION("""COMPUTED_VALUE"""),"Implementa")</f>
        <v>Implementa</v>
      </c>
      <c r="K7" s="5" t="str">
        <f>IFERROR(__xludf.DUMMYFUNCTION("""COMPUTED_VALUE"""),"utilizando Workflows para entandarizar ")</f>
        <v>utilizando Workflows para entandarizar </v>
      </c>
      <c r="L7" s="5"/>
      <c r="M7" s="5" t="str">
        <f>IFERROR(__xludf.DUMMYFUNCTION("""COMPUTED_VALUE"""),"utilizando Workflows para entandarizar ")</f>
        <v>utilizando Workflows para entandarizar </v>
      </c>
      <c r="N7" s="5" t="str">
        <f>IFERROR(__xludf.DUMMYFUNCTION("""COMPUTED_VALUE"""),"los procesos de transformacion digital aplicando normas internacionales        ")</f>
        <v>los procesos de transformacion digital aplicando normas internacionales        </v>
      </c>
      <c r="O7" s="5"/>
      <c r="P7" s="5" t="str">
        <f>IFERROR(__xludf.DUMMYFUNCTION("""COMPUTED_VALUE"""),"Aplicar")</f>
        <v>Aplicar</v>
      </c>
    </row>
    <row r="8" ht="15.75" customHeight="1">
      <c r="A8" s="5" t="str">
        <f>IFERROR(__xludf.DUMMYFUNCTION("""COMPUTED_VALUE"""),"103 - Área Matemática Básica 2")</f>
        <v>103 - Área Matemática Básica 2</v>
      </c>
      <c r="B8" s="5"/>
      <c r="C8" s="5"/>
      <c r="D8" s="5"/>
      <c r="E8" s="5"/>
      <c r="H8" s="5"/>
      <c r="I8" s="5" t="str">
        <f>IFERROR(__xludf.DUMMYFUNCTION("""COMPUTED_VALUE"""),"Implementa utilizando Workflows para entandarizar  utilizando Workflows para entandarizar  los procesos de transformacion digital aplicando normas internacionales         ")</f>
        <v>Implementa utilizando Workflows para entandarizar  utilizando Workflows para entandarizar  los procesos de transformacion digital aplicando normas internacionales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IFERROR(__xludf.DUMMYFUNCTION("""COMPUTED_VALUE"""),"Recuerda")</f>
        <v>Recuerda</v>
      </c>
      <c r="K9" s="5" t="str">
        <f>IFERROR(__xludf.DUMMYFUNCTION("""COMPUTED_VALUE"""),"conceptos fundamentales de la administración gerencial")</f>
        <v>conceptos fundamentales de la administración gerencial</v>
      </c>
      <c r="L9" s="5"/>
      <c r="M9" s="5" t="str">
        <f>IFERROR(__xludf.DUMMYFUNCTION("""COMPUTED_VALUE"""),"realizando la apropiada inteligencia de negos}cios y envontrar brechas para la expansion empresarial")</f>
        <v>realizando la apropiada inteligencia de negos}cios y envontrar brechas para la expansion empresarial</v>
      </c>
      <c r="N9" s="5" t="str">
        <f>IFERROR(__xludf.DUMMYFUNCTION("""COMPUTED_VALUE"""),"y asi lograr los obejtivos que se planificaron desde el principio")</f>
        <v>y asi lograr los obejtivos que se planificaron desde el principio</v>
      </c>
      <c r="O9" s="5"/>
      <c r="P9" s="5" t="str">
        <f>IFERROR(__xludf.DUMMYFUNCTION("""COMPUTED_VALUE"""),"Recordar")</f>
        <v>Recordar</v>
      </c>
    </row>
    <row r="10" ht="15.75" customHeight="1">
      <c r="A10" s="5" t="str">
        <f>IFERROR(__xludf.DUMMYFUNCTION("""COMPUTED_VALUE"""),"147 - Física Básica")</f>
        <v>147 - Física Básica</v>
      </c>
      <c r="B10" s="5"/>
      <c r="C10" s="5"/>
      <c r="D10" s="5"/>
      <c r="E10" s="5"/>
      <c r="H10" s="5"/>
      <c r="I10" s="5" t="str">
        <f>IFERROR(__xludf.DUMMYFUNCTION("""COMPUTED_VALUE"""),"Recuerda conceptos fundamentales de la administración gerencial realizando la apropiada inteligencia de negos}cios y envontrar brechas para la expansion empresarial y asi lograr los obejtivos que se planificaron desde el principio ")</f>
        <v>Recuerda conceptos fundamentales de la administración gerencial realizando la apropiada inteligencia de negos}cios y envontrar brechas para la expansion empresarial y asi lograr los obejtivos que se planificaron desde el principio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IFERROR(__xludf.DUMMYFUNCTION("""COMPUTED_VALUE"""),"Crea")</f>
        <v>Crea</v>
      </c>
      <c r="K11" s="5" t="str">
        <f>IFERROR(__xludf.DUMMYFUNCTION("""COMPUTED_VALUE"""),"propuestas de solución innovadoras")</f>
        <v>propuestas de solución innovadoras</v>
      </c>
      <c r="L11" s="5"/>
      <c r="M11" s="5" t="str">
        <f>IFERROR(__xludf.DUMMYFUNCTION("""COMPUTED_VALUE"""),"utilizando metodologías de diseño estratégico")</f>
        <v>utilizando metodologías de diseño estratégico</v>
      </c>
      <c r="N11" s="5" t="str">
        <f>IFERROR(__xludf.DUMMYFUNCTION("""COMPUTED_VALUE"""),"en escenarios empresariales simulados de alta complejidad")</f>
        <v>en escenarios empresariales simulados de alta complejidad</v>
      </c>
      <c r="O11" s="5"/>
      <c r="P11" s="5" t="str">
        <f>IFERROR(__xludf.DUMMYFUNCTION("""COMPUTED_VALUE"""),"Crear")</f>
        <v>Crear</v>
      </c>
    </row>
    <row r="12" ht="15.75" customHeight="1">
      <c r="A12" s="5" t="str">
        <f>IFERROR(__xludf.DUMMYFUNCTION("""COMPUTED_VALUE"""),"8 - Idioma Técnico 2")</f>
        <v>8 - Idioma Técnico 2</v>
      </c>
      <c r="B12" s="5"/>
      <c r="C12" s="5"/>
      <c r="D12" s="5"/>
      <c r="E12" s="5"/>
      <c r="H12" s="5"/>
      <c r="I12" s="5" t="str">
        <f>IFERROR(__xludf.DUMMYFUNCTION("""COMPUTED_VALUE"""),"Crea propuestas de solución innovadoras utilizando metodologías de diseño estratégico en escenarios empresariales simulados de alta complejidad ")</f>
        <v>Crea propuestas de solución innovadoras utilizando metodologías de diseño estratégico en escenarios empresariales simulados de alta complejidad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IFERROR(__xludf.DUMMYFUNCTION("""COMPUTED_VALUE"""),"Comprende")</f>
        <v>Comprende</v>
      </c>
      <c r="K13" s="5" t="str">
        <f>IFERROR(__xludf.DUMMYFUNCTION("""COMPUTED_VALUE"""),"los fundamentos de la gestión gerencial")</f>
        <v>los fundamentos de la gestión gerencial</v>
      </c>
      <c r="L13" s="5"/>
      <c r="M13" s="5" t="str">
        <f>IFERROR(__xludf.DUMMYFUNCTION("""COMPUTED_VALUE"""),"aplicando teorías administrativas y de liderazgo")</f>
        <v>aplicando teorías administrativas y de liderazgo</v>
      </c>
      <c r="N13" s="5" t="str">
        <f>IFERROR(__xludf.DUMMYFUNCTION("""COMPUTED_VALUE"""),"en el análisis de casos organizacionales")</f>
        <v>en el análisis de casos organizacionales</v>
      </c>
      <c r="O13" s="5"/>
      <c r="P13" s="5" t="str">
        <f>IFERROR(__xludf.DUMMYFUNCTION("""COMPUTED_VALUE"""),"Comprender")</f>
        <v>Comprender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IFERROR(__xludf.DUMMYFUNCTION("""COMPUTED_VALUE"""),"Comprende los fundamentos de la gestión gerencial aplicando teorías administrativas y de liderazgo en el análisis de casos organizacionales ")</f>
        <v>Comprende los fundamentos de la gestión gerencial aplicando teorías administrativas y de liderazgo en el análisis de casos organizacionales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Analiza oportunidades críticas y de gran valor en un entorno empresarial haciendo uso de matrices y arboles de decisión, así como herramientas para el análisis de datos para definir la mejor planificación y dirección empresarial          </v>
      </c>
    </row>
    <row r="18" ht="15.75" customHeight="1">
      <c r="A18" s="5" t="str">
        <f>IFERROR(__xludf.DUMMYFUNCTION("""COMPUTED_VALUE"""),"1 - Ética Profesional")</f>
        <v>1 - Ética Profesional</v>
      </c>
      <c r="B18" s="5"/>
      <c r="C18" s="5"/>
      <c r="D18" s="5"/>
      <c r="E18" s="5"/>
      <c r="I18" s="5" t="str">
        <f>I4</f>
        <v>Evalúa la efectividad de procesos administrativos         aplicando el ciclo del proceso administrativo para identificar áreas de mejora en la gestión organizacional y proponer acciones correctivas         </v>
      </c>
    </row>
    <row r="19" ht="15.75" customHeight="1">
      <c r="A19" s="5" t="str">
        <f>IFERROR(__xludf.DUMMYFUNCTION("""COMPUTED_VALUE"""),"9 - Idioma Técnico 3")</f>
        <v>9 - Idioma Técnico 3</v>
      </c>
      <c r="B19" s="5"/>
      <c r="C19" s="5"/>
      <c r="D19" s="5"/>
      <c r="E19" s="5"/>
      <c r="I19" s="5" t="str">
        <f>I6</f>
        <v>Razona procesos de negocio y el uso de algoritmos para la toma de desciones y mapear los procesos         utilizando la informacion disponible y herramientas para generar flujos de trabajo y tomar desiciones en base a datos historicos y optimizar procesos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Implementa utilizando Workflows para entandarizar  utilizando Workflows para entandarizar  los procesos de transformacion digital aplicando normas internacionales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Recuerda conceptos fundamentales de la administración gerencial realizando la apropiada inteligencia de negos}cios y envontrar brechas para la expansion empresarial y asi lograr los obejtivos que se planificaron desde el principio </v>
      </c>
    </row>
    <row r="22" ht="15.75" customHeight="1">
      <c r="A22" s="5" t="str">
        <f>IFERROR(__xludf.DUMMYFUNCTION("""COMPUTED_VALUE"""),"112 - Área Matemática Intermedia 2")</f>
        <v>112 - Área Matemática Intermedia 2</v>
      </c>
      <c r="B22" s="5"/>
      <c r="C22" s="5"/>
      <c r="D22" s="5"/>
      <c r="E22" s="5"/>
      <c r="I22" s="5" t="str">
        <f>I12</f>
        <v>Crea propuestas de solución innovadoras utilizando metodologías de diseño estratégico en escenarios empresariales simulados de alta complejidad </v>
      </c>
    </row>
    <row r="23" ht="15.75" customHeight="1">
      <c r="A23" s="5" t="str">
        <f>IFERROR(__xludf.DUMMYFUNCTION("""COMPUTED_VALUE"""),"114 - Área Matemática Intermedia 3")</f>
        <v>114 - Área Matemática Intermedia 3</v>
      </c>
      <c r="B23" s="5"/>
      <c r="C23" s="5"/>
      <c r="D23" s="5"/>
      <c r="E23" s="5"/>
      <c r="I23" s="5" t="str">
        <f>I14</f>
        <v>Comprende los fundamentos de la gestión gerencial aplicando teorías administrativas y de liderazgo en el análisis de casos organizacionales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